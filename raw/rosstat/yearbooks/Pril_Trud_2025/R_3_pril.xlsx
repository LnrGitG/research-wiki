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4505" yWindow="-15" windowWidth="14310" windowHeight="12855"/>
  </bookViews>
  <sheets>
    <sheet name="Содержание" sheetId="5" r:id="rId1"/>
    <sheet name="Т_3.1." sheetId="1" r:id="rId2"/>
    <sheet name="Т_3.2." sheetId="2" r:id="rId3"/>
    <sheet name="Т_3.3." sheetId="3" r:id="rId4"/>
    <sheet name="T_3.4" sheetId="4" r:id="rId5"/>
  </sheets>
  <definedNames>
    <definedName name="_xlnm.Print_Titles" localSheetId="4">T_3.4!$4:$4</definedName>
    <definedName name="_xlnm.Print_Titles" localSheetId="1">Т_3.1.!$4:$4</definedName>
    <definedName name="_xlnm.Print_Titles" localSheetId="2">Т_3.2.!$4:$6</definedName>
    <definedName name="_xlnm.Print_Titles" localSheetId="3">Т_3.3.!$4:$5</definedName>
    <definedName name="_xlnm.Print_Area" localSheetId="2">Т_3.2.!$A$1:$N$104</definedName>
  </definedNames>
  <calcPr calcId="145621"/>
  <customWorkbookViews>
    <customWorkbookView name="Кухтина Елена Михайловна - Личное представление" guid="{8022249A-38EC-4E73-9E7D-189E61894E59}" mergeInterval="0" personalView="1" maximized="1" windowWidth="1596" windowHeight="635" activeSheetId="1"/>
    <customWorkbookView name="Базескин Дмитрий Сергеевич - Личное представление" guid="{F3F4C7FF-8EBE-4D52-9E48-0CCB4CC80F2C}" mergeInterval="0" personalView="1" maximized="1" windowWidth="1596" windowHeight="675" activeSheetId="1"/>
    <customWorkbookView name="Андреева О.Б. - Личное представление" guid="{5DBE6FD9-68D5-4F02-A25A-52A2FB41D9C1}" mergeInterval="0" personalView="1" maximized="1" windowWidth="1596" windowHeight="595" activeSheetId="3"/>
  </customWorkbookViews>
</workbook>
</file>

<file path=xl/calcChain.xml><?xml version="1.0" encoding="utf-8"?>
<calcChain xmlns="http://schemas.openxmlformats.org/spreadsheetml/2006/main">
  <c r="J7" i="2" l="1"/>
  <c r="I7" i="2"/>
</calcChain>
</file>

<file path=xl/sharedStrings.xml><?xml version="1.0" encoding="utf-8"?>
<sst xmlns="http://schemas.openxmlformats.org/spreadsheetml/2006/main" count="443" uniqueCount="138">
  <si>
    <t>Российская Федерация</t>
  </si>
  <si>
    <t>Брянская область</t>
  </si>
  <si>
    <t>Белгородская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</si>
  <si>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</si>
  <si>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</si>
  <si>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</si>
  <si>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</si>
  <si>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</si>
  <si>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</si>
  <si>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</si>
  <si>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</si>
  <si>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</si>
  <si>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</si>
  <si>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</si>
  <si>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</si>
  <si>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</si>
  <si>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</si>
  <si>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</si>
  <si>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</si>
  <si>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</si>
  <si>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</si>
  <si>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Вологодская область</t>
  </si>
  <si>
    <t>Мурманская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</si>
  <si>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</si>
  <si>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</si>
  <si>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</si>
  <si>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</si>
  <si>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</si>
  <si>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</si>
  <si>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Ростовская область</t>
  </si>
  <si>
    <t>Республика Дагестан</t>
  </si>
  <si>
    <t>Ставропольский край</t>
  </si>
  <si>
    <t>Республика Марий Эл</t>
  </si>
  <si>
    <t>Республика Мордовия</t>
  </si>
  <si>
    <t>Республика Татарстан</t>
  </si>
  <si>
    <t>Пермский край</t>
  </si>
  <si>
    <t>Кировская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</si>
  <si>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</si>
  <si>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</si>
  <si>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</si>
  <si>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</si>
  <si>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</si>
  <si>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</si>
  <si>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</si>
  <si>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</si>
  <si>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в том числе: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</si>
  <si>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</si>
  <si>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</si>
  <si>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</si>
  <si>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</si>
  <si>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</si>
  <si>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</si>
  <si>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</si>
  <si>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</si>
  <si>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</si>
  <si>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</si>
  <si>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</si>
  <si>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</si>
  <si>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</si>
  <si>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</si>
  <si>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</si>
  <si>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</si>
  <si>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</si>
  <si>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</si>
  <si>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</si>
  <si>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</si>
  <si>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</si>
  <si>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Республика Саха (Якутия)</t>
  </si>
  <si>
    <t>Дальневосточный федеральный округ</t>
  </si>
  <si>
    <t>Калининградская область</t>
  </si>
  <si>
    <t>Ленинградская область</t>
  </si>
  <si>
    <t>Новгородская область</t>
  </si>
  <si>
    <t>Южный федеральный округ</t>
  </si>
  <si>
    <t>Волгоградская область</t>
  </si>
  <si>
    <t>Республика Ингушетия</t>
  </si>
  <si>
    <t>Карачаево-Черкесская Республика</t>
  </si>
  <si>
    <t>Республика Башкортостан</t>
  </si>
  <si>
    <t>Чувашская Республика</t>
  </si>
  <si>
    <t>Нижегородская область</t>
  </si>
  <si>
    <t>Уральский федеральный округ</t>
  </si>
  <si>
    <t>Сибирский федеральный округ</t>
  </si>
  <si>
    <t>Северо-Западный федеральный округ</t>
  </si>
  <si>
    <t>Приволжский федеральный округ</t>
  </si>
  <si>
    <t>Архангельская область</t>
  </si>
  <si>
    <t>Удмуртская Республика</t>
  </si>
  <si>
    <t>Ханты-Мансийский автономный округ - Югра</t>
  </si>
  <si>
    <t>Кабардино-Балкарская Республика</t>
  </si>
  <si>
    <t>Чеченская Республика</t>
  </si>
  <si>
    <t>Ямало-Ненецкий автономный округ</t>
  </si>
  <si>
    <t>Центральный федеральный округ</t>
  </si>
  <si>
    <t>в том числе Ненецкий автономный округ</t>
  </si>
  <si>
    <t>Северо-Кавказский федеральный округ</t>
  </si>
  <si>
    <t>Республика Северная Осетия-Алания</t>
  </si>
  <si>
    <t>(в процентах)</t>
  </si>
  <si>
    <t>Всего</t>
  </si>
  <si>
    <t>государственная</t>
  </si>
  <si>
    <t>муниципальная</t>
  </si>
  <si>
    <t>частная</t>
  </si>
  <si>
    <t xml:space="preserve">собственность общественных и религиозных организаций (объе-
динений)
</t>
  </si>
  <si>
    <t>смешанная российская</t>
  </si>
  <si>
    <t>иностранная, совместная  российская и иностранная</t>
  </si>
  <si>
    <t>(в процентах к предыдущему году)</t>
  </si>
  <si>
    <t>Индекс производительности труда</t>
  </si>
  <si>
    <t>Ненецкий автономный округ</t>
  </si>
  <si>
    <t>Архангельская область без автономного округа</t>
  </si>
  <si>
    <t>Тюменская область без автономных округов</t>
  </si>
  <si>
    <t xml:space="preserve">    в том числе:</t>
  </si>
  <si>
    <t>Республика Крым</t>
  </si>
  <si>
    <t>г. Севастополь</t>
  </si>
  <si>
    <t>г.Севастополь</t>
  </si>
  <si>
    <t>(тысяч человек)</t>
  </si>
  <si>
    <t>(млн. человеко-часов)</t>
  </si>
  <si>
    <t>из них по формам собственности</t>
  </si>
  <si>
    <t>3.2. СРЕДНЕСПИСОЧНАЯ ЧИСЛЕННОСТЬ РАБОТНИКОВ ОРГАНИЗАЦИЙ ПО ФОРМАМ СОБСТВЕННОСТИ</t>
  </si>
  <si>
    <t>…</t>
  </si>
  <si>
    <t>К содержанию</t>
  </si>
  <si>
    <r>
      <t>3.1. СРЕДНЕГОДОВАЯ ЧИСЛЕННОСТЬ ЗАНЯТЫХ</t>
    </r>
    <r>
      <rPr>
        <b/>
        <vertAlign val="superscript"/>
        <sz val="8"/>
        <rFont val="Arial"/>
        <family val="2"/>
        <charset val="204"/>
      </rPr>
      <t>1)</t>
    </r>
  </si>
  <si>
    <r>
      <t>3.4. КОЛИЧЕСТВО ФАКТИЧЕСКИ ОТРАБОТАННОГО ВРЕМЕНИ ЗА ГОД НА ВСЕХ ВИДАХ РАБОТ 
ПО ПРОИЗВОДСТВУ ТОВАРОВ И УСЛУГ</t>
    </r>
    <r>
      <rPr>
        <b/>
        <vertAlign val="superscript"/>
        <sz val="8"/>
        <rFont val="Arial"/>
        <family val="2"/>
        <charset val="204"/>
      </rPr>
      <t>1)</t>
    </r>
  </si>
  <si>
    <t xml:space="preserve">3.3. ИНДЕКС СОВОКУПНЫХ ЗАТРАТ ТРУДА И ПРОИЗВОДИТЕЛЬНОСТИ ТРУДА 
В ЦЕЛОМ ПО ЭКОНОМИКЕ
</t>
  </si>
  <si>
    <t>Информация в разрезе  субъектов Российской Федерации</t>
  </si>
  <si>
    <t>Содержание</t>
  </si>
  <si>
    <t>№ таблицы</t>
  </si>
  <si>
    <t>Наименование разделов и таблиц</t>
  </si>
  <si>
    <t>Т_3.1.</t>
  </si>
  <si>
    <t xml:space="preserve">Среднегодовая численность занятых </t>
  </si>
  <si>
    <t>Т_3.2.</t>
  </si>
  <si>
    <t>Среднесписочная численность работников организаций  по формам собственности</t>
  </si>
  <si>
    <t>Т_3.3.</t>
  </si>
  <si>
    <t>Индекс совокупных затрат труда и производительности труда в целом по экономике</t>
  </si>
  <si>
    <t>Т_3.4.</t>
  </si>
  <si>
    <t>Количество фактически отработанного времени за год на всех видах работ по производству товаров и услуг</t>
  </si>
  <si>
    <t>3. ТРУДОВЫЕ РЕСУРСЫ, ЗАТРАТЫ ТРУДА И ПРОИЗВОДИТЕЛЬНОСТЬ ТРУДА</t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</si>
  <si>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Данные за 2020-2022 гг. пересчитаны с учетом итогов Всероссийской переписи населения 2020 г.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</si>
  <si>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Данные за 2020, 2021 гг. пересчитаны с учетом итогов Всероссийской переписи населения 2020 г.</t>
    </r>
  </si>
  <si>
    <t xml:space="preserve">Индекс совокупных 
затрат труда
</t>
  </si>
  <si>
    <t>Приложение к сборнику «Труд и занятость в России. 2025»</t>
  </si>
  <si>
    <r>
      <t>Примечание:</t>
    </r>
    <r>
      <rPr>
        <sz val="10"/>
        <rFont val="Times New Roman"/>
        <family val="1"/>
        <charset val="204"/>
      </rPr>
      <t xml:space="preserve"> </t>
    </r>
  </si>
  <si>
    <t>Структура Приложения в основном соответствует структуре сборника «Труд и занятость в России. 2025».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</si>
</sst>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"/>
    <numFmt numFmtId="165" formatCode="#,##0.0"/>
  </numFmts>
  <fonts count="19" x14ac:knownFonts="1">
    <font>
      <sz val="11"/>
      <color theme="1"/>
      <name val="Calibri"/>
      <family val="2"/>
      <charset val="204"/>
      <scheme val="minor"/>
    </font>
    <font>
      <b/>
      <sz val="8"/>
      <name val="Arial"/>
      <family val="2"/>
      <charset val="204"/>
    </font>
    <font>
      <sz val="11"/>
      <name val="Calibri"/>
      <family val="2"/>
      <charset val="204"/>
      <scheme val="minor"/>
    </font>
    <font>
      <sz val="7"/>
      <name val="Arial"/>
      <family val="2"/>
      <charset val="204"/>
    </font>
    <font>
      <b/>
      <sz val="7"/>
      <name val="Arial"/>
      <family val="2"/>
      <charset val="204"/>
    </font>
    <font>
      <b/>
      <sz val="11"/>
      <name val="Calibri"/>
      <family val="2"/>
      <charset val="204"/>
      <scheme val="minor"/>
    </font>
    <font>
      <sz val="6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vertAlign val="superscript"/>
      <sz val="8"/>
      <name val="Arial"/>
      <family val="2"/>
      <charset val="204"/>
    </font>
    <font>
      <vertAlign val="superscript"/>
      <sz val="6"/>
      <name val="Arial"/>
      <family val="2"/>
      <charset val="204"/>
    </font>
    <font>
      <sz val="11"/>
      <color rgb="FF0070C0"/>
      <name val="Segoe Print"/>
      <charset val="204"/>
    </font>
    <font>
      <b/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11"/>
      <color indexed="8"/>
      <name val="Arial"/>
      <family val="2"/>
      <charset val="204"/>
    </font>
    <font>
      <sz val="10"/>
      <color theme="1"/>
      <name val="Arial"/>
      <family val="2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7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8">
    <xf numFmtId="0" fontId="0" fillId="0" borderId="0"/>
    <xf numFmtId="0" fontId="7" fillId="0" borderId="0" applyNumberForma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</cellStyleXfs>
  <cellXfs count="66">
    <xf numFmtId="0" fontId="0" fillId="0" borderId="0" xfId="0"/>
    <xf numFmtId="0" fontId="3" fillId="0" borderId="0" xfId="0" applyFont="1" applyFill="1" applyBorder="1" applyAlignment="1">
      <alignment wrapText="1"/>
    </xf>
    <xf numFmtId="0" fontId="2" fillId="0" borderId="0" xfId="0" applyFont="1" applyFill="1"/>
    <xf numFmtId="164" fontId="3" fillId="0" borderId="0" xfId="0" applyNumberFormat="1" applyFont="1" applyFill="1" applyBorder="1" applyAlignment="1">
      <alignment horizontal="center"/>
    </xf>
    <xf numFmtId="165" fontId="4" fillId="0" borderId="0" xfId="0" applyNumberFormat="1" applyFont="1" applyFill="1" applyAlignment="1">
      <alignment horizontal="right" vertical="center" wrapText="1" indent="1"/>
    </xf>
    <xf numFmtId="165" fontId="3" fillId="0" borderId="0" xfId="0" applyNumberFormat="1" applyFont="1" applyFill="1" applyAlignment="1">
      <alignment horizontal="right" vertical="center" wrapText="1" indent="1"/>
    </xf>
    <xf numFmtId="0" fontId="6" fillId="0" borderId="0" xfId="0" applyFont="1" applyFill="1" applyAlignment="1">
      <alignment wrapText="1"/>
    </xf>
    <xf numFmtId="165" fontId="3" fillId="0" borderId="1" xfId="0" applyNumberFormat="1" applyFont="1" applyFill="1" applyBorder="1" applyAlignment="1">
      <alignment horizontal="right" vertical="center" wrapText="1" indent="1"/>
    </xf>
    <xf numFmtId="0" fontId="3" fillId="0" borderId="2" xfId="0" applyFont="1" applyFill="1" applyBorder="1" applyAlignment="1"/>
    <xf numFmtId="0" fontId="4" fillId="0" borderId="0" xfId="0" applyFont="1" applyFill="1" applyBorder="1" applyAlignment="1">
      <alignment wrapText="1"/>
    </xf>
    <xf numFmtId="0" fontId="5" fillId="0" borderId="0" xfId="0" applyFont="1" applyFill="1"/>
    <xf numFmtId="0" fontId="4" fillId="0" borderId="0" xfId="0" applyFont="1" applyFill="1" applyBorder="1" applyAlignment="1">
      <alignment horizontal="left" wrapText="1" indent="1"/>
    </xf>
    <xf numFmtId="0" fontId="3" fillId="0" borderId="0" xfId="0" applyFont="1" applyFill="1" applyAlignment="1">
      <alignment wrapText="1"/>
    </xf>
    <xf numFmtId="0" fontId="4" fillId="0" borderId="0" xfId="0" applyFont="1" applyFill="1" applyAlignment="1">
      <alignment horizontal="left" wrapText="1" indent="1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left" wrapText="1" indent="1"/>
    </xf>
    <xf numFmtId="0" fontId="3" fillId="0" borderId="1" xfId="0" applyFont="1" applyFill="1" applyBorder="1" applyAlignment="1">
      <alignment wrapText="1"/>
    </xf>
    <xf numFmtId="165" fontId="3" fillId="0" borderId="1" xfId="0" applyNumberFormat="1" applyFont="1" applyFill="1" applyBorder="1" applyAlignment="1">
      <alignment horizontal="right" wrapText="1" indent="1"/>
    </xf>
    <xf numFmtId="0" fontId="1" fillId="0" borderId="0" xfId="0" applyFont="1" applyFill="1" applyAlignment="1">
      <alignment vertical="top" wrapText="1"/>
    </xf>
    <xf numFmtId="0" fontId="4" fillId="0" borderId="0" xfId="0" applyFont="1" applyFill="1" applyBorder="1" applyAlignment="1">
      <alignment horizontal="center" wrapText="1"/>
    </xf>
    <xf numFmtId="0" fontId="4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164" fontId="3" fillId="0" borderId="0" xfId="0" applyNumberFormat="1" applyFont="1" applyFill="1" applyBorder="1"/>
    <xf numFmtId="0" fontId="3" fillId="0" borderId="1" xfId="0" applyFont="1" applyFill="1" applyBorder="1" applyAlignment="1">
      <alignment horizontal="center"/>
    </xf>
    <xf numFmtId="0" fontId="10" fillId="0" borderId="0" xfId="1" applyFont="1" applyFill="1" applyAlignment="1" applyProtection="1"/>
    <xf numFmtId="0" fontId="12" fillId="0" borderId="0" xfId="0" applyFont="1" applyFill="1" applyAlignment="1">
      <alignment horizontal="center" vertical="center"/>
    </xf>
    <xf numFmtId="0" fontId="0" fillId="0" borderId="0" xfId="0" applyFill="1"/>
    <xf numFmtId="0" fontId="14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164" fontId="3" fillId="0" borderId="0" xfId="0" applyNumberFormat="1" applyFont="1" applyFill="1" applyAlignment="1">
      <alignment wrapText="1"/>
    </xf>
    <xf numFmtId="164" fontId="3" fillId="0" borderId="0" xfId="0" applyNumberFormat="1" applyFont="1" applyFill="1" applyAlignment="1">
      <alignment horizontal="right" wrapText="1"/>
    </xf>
    <xf numFmtId="164" fontId="3" fillId="0" borderId="1" xfId="0" applyNumberFormat="1" applyFont="1" applyFill="1" applyBorder="1" applyAlignment="1">
      <alignment horizontal="right" wrapText="1"/>
    </xf>
    <xf numFmtId="0" fontId="2" fillId="0" borderId="0" xfId="0" applyFont="1"/>
    <xf numFmtId="0" fontId="16" fillId="0" borderId="0" xfId="0" applyFont="1" applyAlignment="1">
      <alignment horizontal="left" vertical="center"/>
    </xf>
    <xf numFmtId="0" fontId="2" fillId="0" borderId="0" xfId="0" applyFont="1" applyFill="1" applyAlignment="1">
      <alignment horizontal="right"/>
    </xf>
    <xf numFmtId="0" fontId="17" fillId="0" borderId="0" xfId="0" applyFont="1" applyAlignment="1">
      <alignment horizontal="left" vertical="center"/>
    </xf>
    <xf numFmtId="164" fontId="18" fillId="0" borderId="0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3" fillId="0" borderId="5" xfId="0" applyFont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65" fontId="3" fillId="0" borderId="7" xfId="0" applyNumberFormat="1" applyFont="1" applyFill="1" applyBorder="1" applyAlignment="1" applyProtection="1">
      <alignment horizontal="right"/>
    </xf>
    <xf numFmtId="165" fontId="3" fillId="0" borderId="0" xfId="0" applyNumberFormat="1" applyFont="1" applyFill="1" applyBorder="1" applyAlignment="1" applyProtection="1">
      <alignment horizontal="right"/>
    </xf>
    <xf numFmtId="165" fontId="3" fillId="0" borderId="1" xfId="0" applyNumberFormat="1" applyFont="1" applyFill="1" applyBorder="1" applyAlignment="1" applyProtection="1">
      <alignment horizontal="right"/>
    </xf>
  </cellXfs>
  <cellStyles count="8">
    <cellStyle name="Comma" xfId="6"/>
    <cellStyle name="Comma [0]" xfId="7"/>
    <cellStyle name="Currency" xfId="4"/>
    <cellStyle name="Currency [0]" xfId="5"/>
    <cellStyle name="Percent" xfId="3"/>
    <cellStyle name="Гиперссылка" xfId="1" builtinId="8"/>
    <cellStyle name="Обычный" xfId="0" builtinId="0"/>
    <cellStyle name="Обычн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8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4" Type="http://schemas.openxmlformats.org/officeDocument/2006/relationships/printerSettings" Target="../printerSettings/printerSettings1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sqref="A1:B1"/>
    </sheetView>
  </sheetViews>
  <sheetFormatPr defaultRowHeight="15" x14ac:dyDescent="0.25"/>
  <cols>
    <col min="1" max="1" width="11.5703125" customWidth="1"/>
    <col min="2" max="2" width="112.7109375" customWidth="1"/>
  </cols>
  <sheetData>
    <row r="1" spans="1:2" x14ac:dyDescent="0.25">
      <c r="A1" s="46" t="s">
        <v>135</v>
      </c>
      <c r="B1" s="46"/>
    </row>
    <row r="2" spans="1:2" x14ac:dyDescent="0.25">
      <c r="A2" s="47" t="s">
        <v>119</v>
      </c>
      <c r="B2" s="47"/>
    </row>
    <row r="3" spans="1:2" x14ac:dyDescent="0.25">
      <c r="A3" s="38"/>
      <c r="B3" s="38"/>
    </row>
    <row r="4" spans="1:2" x14ac:dyDescent="0.25">
      <c r="A4" s="39" t="s">
        <v>136</v>
      </c>
      <c r="B4" s="40"/>
    </row>
    <row r="5" spans="1:2" x14ac:dyDescent="0.25">
      <c r="A5" s="41" t="s">
        <v>137</v>
      </c>
      <c r="B5" s="40"/>
    </row>
    <row r="6" spans="1:2" x14ac:dyDescent="0.25">
      <c r="A6" s="25"/>
      <c r="B6" s="26"/>
    </row>
    <row r="7" spans="1:2" ht="15.75" x14ac:dyDescent="0.25">
      <c r="A7" s="48" t="s">
        <v>120</v>
      </c>
      <c r="B7" s="48"/>
    </row>
    <row r="8" spans="1:2" ht="28.5" x14ac:dyDescent="0.25">
      <c r="A8" s="27" t="s">
        <v>121</v>
      </c>
      <c r="B8" s="28" t="s">
        <v>122</v>
      </c>
    </row>
    <row r="9" spans="1:2" x14ac:dyDescent="0.25">
      <c r="A9" s="45" t="s">
        <v>131</v>
      </c>
      <c r="B9" s="45"/>
    </row>
    <row r="10" spans="1:2" x14ac:dyDescent="0.25">
      <c r="A10" s="29" t="s">
        <v>123</v>
      </c>
      <c r="B10" s="30" t="s">
        <v>124</v>
      </c>
    </row>
    <row r="11" spans="1:2" x14ac:dyDescent="0.25">
      <c r="A11" s="29" t="s">
        <v>125</v>
      </c>
      <c r="B11" s="30" t="s">
        <v>126</v>
      </c>
    </row>
    <row r="12" spans="1:2" x14ac:dyDescent="0.25">
      <c r="A12" s="29" t="s">
        <v>127</v>
      </c>
      <c r="B12" s="30" t="s">
        <v>128</v>
      </c>
    </row>
    <row r="13" spans="1:2" x14ac:dyDescent="0.25">
      <c r="A13" s="29" t="s">
        <v>129</v>
      </c>
      <c r="B13" s="30" t="s">
        <v>130</v>
      </c>
    </row>
  </sheetData>
  <mergeCells count="4">
    <mergeCell ref="A9:B9"/>
    <mergeCell ref="A1:B1"/>
    <mergeCell ref="A2:B2"/>
    <mergeCell ref="A7:B7"/>
  </mergeCells>
  <hyperlinks>
    <hyperlink ref="B10" location="Т_3.1.!A1" display="Среднегодовая численность занятых "/>
    <hyperlink ref="B11" location="Т_3.2.!A1" display="Среднесписочная численность работников организаций  по формам собственности"/>
    <hyperlink ref="B12" location="Т_3.3.!A1" display="Индекс совокупных затрат труда и производительности труда в целом по экономике"/>
    <hyperlink ref="B13" location="T_3.4!A1" display="Количество фактически отработанного времени за год на всех видах работ по производству товаров и услуг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zoomScale="110" zoomScaleNormal="110" workbookViewId="0">
      <pane ySplit="4" topLeftCell="A5" activePane="bottomLeft" state="frozen"/>
      <selection activeCell="B19" sqref="B19"/>
      <selection pane="bottomLeft"/>
    </sheetView>
  </sheetViews>
  <sheetFormatPr defaultRowHeight="15" x14ac:dyDescent="0.25"/>
  <cols>
    <col min="1" max="1" width="31.42578125" style="2" customWidth="1"/>
    <col min="2" max="2" width="10" style="2" customWidth="1"/>
    <col min="3" max="3" width="10.5703125" style="2" customWidth="1"/>
    <col min="4" max="6" width="9.7109375" style="2" customWidth="1"/>
    <col min="7" max="7" width="9.7109375" style="2" bestFit="1" customWidth="1"/>
    <col min="8" max="16384" width="9.140625" style="2"/>
  </cols>
  <sheetData>
    <row r="1" spans="1:8" ht="23.25" x14ac:dyDescent="0.6">
      <c r="A1" s="24" t="s">
        <v>115</v>
      </c>
    </row>
    <row r="2" spans="1:8" x14ac:dyDescent="0.25">
      <c r="A2" s="49" t="s">
        <v>116</v>
      </c>
      <c r="B2" s="49"/>
      <c r="C2" s="49"/>
      <c r="D2" s="49"/>
      <c r="E2" s="49"/>
      <c r="F2" s="49"/>
      <c r="G2" s="49"/>
    </row>
    <row r="3" spans="1:8" ht="15.75" thickBot="1" x14ac:dyDescent="0.3">
      <c r="A3" s="50" t="s">
        <v>110</v>
      </c>
      <c r="B3" s="50"/>
      <c r="C3" s="50"/>
      <c r="D3" s="50"/>
      <c r="E3" s="50"/>
      <c r="F3" s="50"/>
      <c r="G3" s="50"/>
    </row>
    <row r="4" spans="1:8" ht="15.75" thickBot="1" x14ac:dyDescent="0.3">
      <c r="A4" s="8"/>
      <c r="B4" s="31">
        <v>2010</v>
      </c>
      <c r="C4" s="31">
        <v>2020</v>
      </c>
      <c r="D4" s="31">
        <v>2021</v>
      </c>
      <c r="E4" s="31">
        <v>2022</v>
      </c>
      <c r="F4" s="31">
        <v>2023</v>
      </c>
      <c r="G4" s="31">
        <v>2024</v>
      </c>
    </row>
    <row r="5" spans="1:8" s="10" customFormat="1" x14ac:dyDescent="0.25">
      <c r="A5" s="9" t="s">
        <v>0</v>
      </c>
      <c r="B5" s="4">
        <v>71493.100000000006</v>
      </c>
      <c r="C5" s="4">
        <v>70133.2</v>
      </c>
      <c r="D5" s="4">
        <v>71445.899999999994</v>
      </c>
      <c r="E5" s="4">
        <v>71902.600000000006</v>
      </c>
      <c r="F5" s="4">
        <v>72911.8</v>
      </c>
      <c r="G5" s="4">
        <v>73267.3</v>
      </c>
    </row>
    <row r="6" spans="1:8" s="10" customFormat="1" x14ac:dyDescent="0.25">
      <c r="A6" s="11" t="s">
        <v>89</v>
      </c>
      <c r="B6" s="4">
        <v>20782.3</v>
      </c>
      <c r="C6" s="4">
        <v>21136.9</v>
      </c>
      <c r="D6" s="4">
        <v>21310.2</v>
      </c>
      <c r="E6" s="4">
        <v>21302.799999999999</v>
      </c>
      <c r="F6" s="4">
        <v>21537.9</v>
      </c>
      <c r="G6" s="4">
        <v>21461.599999999999</v>
      </c>
    </row>
    <row r="7" spans="1:8" x14ac:dyDescent="0.25">
      <c r="A7" s="12" t="s">
        <v>2</v>
      </c>
      <c r="B7" s="5">
        <v>749.8</v>
      </c>
      <c r="C7" s="5">
        <v>754</v>
      </c>
      <c r="D7" s="5">
        <v>763</v>
      </c>
      <c r="E7" s="5">
        <v>772.2</v>
      </c>
      <c r="F7" s="5">
        <v>765.3</v>
      </c>
      <c r="G7" s="5">
        <v>772.8</v>
      </c>
      <c r="H7" s="10"/>
    </row>
    <row r="8" spans="1:8" x14ac:dyDescent="0.25">
      <c r="A8" s="12" t="s">
        <v>1</v>
      </c>
      <c r="B8" s="5">
        <v>580.9</v>
      </c>
      <c r="C8" s="5">
        <v>496.4</v>
      </c>
      <c r="D8" s="5">
        <v>508.9</v>
      </c>
      <c r="E8" s="5">
        <v>504.1</v>
      </c>
      <c r="F8" s="5">
        <v>504.5</v>
      </c>
      <c r="G8" s="5">
        <v>510.3</v>
      </c>
      <c r="H8" s="10"/>
    </row>
    <row r="9" spans="1:8" x14ac:dyDescent="0.25">
      <c r="A9" s="12" t="s">
        <v>3</v>
      </c>
      <c r="B9" s="5">
        <v>670.5</v>
      </c>
      <c r="C9" s="5">
        <v>627.70000000000005</v>
      </c>
      <c r="D9" s="5">
        <v>625.6</v>
      </c>
      <c r="E9" s="5">
        <v>657.3</v>
      </c>
      <c r="F9" s="5">
        <v>639</v>
      </c>
      <c r="G9" s="5">
        <v>643.5</v>
      </c>
      <c r="H9" s="10"/>
    </row>
    <row r="10" spans="1:8" x14ac:dyDescent="0.25">
      <c r="A10" s="12" t="s">
        <v>4</v>
      </c>
      <c r="B10" s="5">
        <v>1158.9000000000001</v>
      </c>
      <c r="C10" s="5">
        <v>1098.5</v>
      </c>
      <c r="D10" s="5">
        <v>1123.4000000000001</v>
      </c>
      <c r="E10" s="5">
        <v>1146.7</v>
      </c>
      <c r="F10" s="5">
        <v>1151.5999999999999</v>
      </c>
      <c r="G10" s="5">
        <v>1173.4000000000001</v>
      </c>
      <c r="H10" s="10"/>
    </row>
    <row r="11" spans="1:8" x14ac:dyDescent="0.25">
      <c r="A11" s="12" t="s">
        <v>5</v>
      </c>
      <c r="B11" s="5">
        <v>467.8</v>
      </c>
      <c r="C11" s="5">
        <v>410.6</v>
      </c>
      <c r="D11" s="5">
        <v>422</v>
      </c>
      <c r="E11" s="5">
        <v>426.3</v>
      </c>
      <c r="F11" s="5">
        <v>422.2</v>
      </c>
      <c r="G11" s="5">
        <v>427.5</v>
      </c>
      <c r="H11" s="10"/>
    </row>
    <row r="12" spans="1:8" x14ac:dyDescent="0.25">
      <c r="A12" s="12" t="s">
        <v>6</v>
      </c>
      <c r="B12" s="5">
        <v>516.79999999999995</v>
      </c>
      <c r="C12" s="5">
        <v>522.5</v>
      </c>
      <c r="D12" s="5">
        <v>539.79999999999995</v>
      </c>
      <c r="E12" s="5">
        <v>533.70000000000005</v>
      </c>
      <c r="F12" s="5">
        <v>536.9</v>
      </c>
      <c r="G12" s="5">
        <v>540.4</v>
      </c>
      <c r="H12" s="10"/>
    </row>
    <row r="13" spans="1:8" x14ac:dyDescent="0.25">
      <c r="A13" s="12" t="s">
        <v>7</v>
      </c>
      <c r="B13" s="5">
        <v>327.5</v>
      </c>
      <c r="C13" s="5">
        <v>254.6</v>
      </c>
      <c r="D13" s="5">
        <v>253.2</v>
      </c>
      <c r="E13" s="5">
        <v>257.10000000000002</v>
      </c>
      <c r="F13" s="5">
        <v>257.3</v>
      </c>
      <c r="G13" s="5">
        <v>254</v>
      </c>
      <c r="H13" s="10"/>
    </row>
    <row r="14" spans="1:8" x14ac:dyDescent="0.25">
      <c r="A14" s="12" t="s">
        <v>8</v>
      </c>
      <c r="B14" s="5">
        <v>546.4</v>
      </c>
      <c r="C14" s="5">
        <v>493.3</v>
      </c>
      <c r="D14" s="5">
        <v>509.4</v>
      </c>
      <c r="E14" s="5">
        <v>512</v>
      </c>
      <c r="F14" s="5">
        <v>502.6</v>
      </c>
      <c r="G14" s="5">
        <v>508.1</v>
      </c>
      <c r="H14" s="10"/>
    </row>
    <row r="15" spans="1:8" x14ac:dyDescent="0.25">
      <c r="A15" s="12" t="s">
        <v>9</v>
      </c>
      <c r="B15" s="5">
        <v>594.5</v>
      </c>
      <c r="C15" s="5">
        <v>569.5</v>
      </c>
      <c r="D15" s="5">
        <v>574.29999999999995</v>
      </c>
      <c r="E15" s="5">
        <v>564.20000000000005</v>
      </c>
      <c r="F15" s="5">
        <v>565.70000000000005</v>
      </c>
      <c r="G15" s="5">
        <v>569.6</v>
      </c>
      <c r="H15" s="10"/>
    </row>
    <row r="16" spans="1:8" x14ac:dyDescent="0.25">
      <c r="A16" s="12" t="s">
        <v>10</v>
      </c>
      <c r="B16" s="5">
        <v>3341.4</v>
      </c>
      <c r="C16" s="5">
        <v>3676.1</v>
      </c>
      <c r="D16" s="5">
        <v>3759.6</v>
      </c>
      <c r="E16" s="5">
        <v>3766.4</v>
      </c>
      <c r="F16" s="5">
        <v>3991.8</v>
      </c>
      <c r="G16" s="5">
        <v>3979.4</v>
      </c>
      <c r="H16" s="10"/>
    </row>
    <row r="17" spans="1:8" x14ac:dyDescent="0.25">
      <c r="A17" s="12" t="s">
        <v>11</v>
      </c>
      <c r="B17" s="5">
        <v>342.5</v>
      </c>
      <c r="C17" s="5">
        <v>293.89999999999998</v>
      </c>
      <c r="D17" s="5">
        <v>299</v>
      </c>
      <c r="E17" s="5">
        <v>297.39999999999998</v>
      </c>
      <c r="F17" s="5">
        <v>301.5</v>
      </c>
      <c r="G17" s="5">
        <v>292.3</v>
      </c>
      <c r="H17" s="10"/>
    </row>
    <row r="18" spans="1:8" x14ac:dyDescent="0.25">
      <c r="A18" s="12" t="s">
        <v>12</v>
      </c>
      <c r="B18" s="5">
        <v>529</v>
      </c>
      <c r="C18" s="5">
        <v>481.6</v>
      </c>
      <c r="D18" s="5">
        <v>497.4</v>
      </c>
      <c r="E18" s="5">
        <v>505.6</v>
      </c>
      <c r="F18" s="5">
        <v>499.7</v>
      </c>
      <c r="G18" s="5">
        <v>493.3</v>
      </c>
      <c r="H18" s="10"/>
    </row>
    <row r="19" spans="1:8" x14ac:dyDescent="0.25">
      <c r="A19" s="12" t="s">
        <v>13</v>
      </c>
      <c r="B19" s="5">
        <v>484.6</v>
      </c>
      <c r="C19" s="5">
        <v>399.6</v>
      </c>
      <c r="D19" s="5">
        <v>402.2</v>
      </c>
      <c r="E19" s="5">
        <v>413.8</v>
      </c>
      <c r="F19" s="5">
        <v>409.6</v>
      </c>
      <c r="G19" s="5">
        <v>401.9</v>
      </c>
      <c r="H19" s="10"/>
    </row>
    <row r="20" spans="1:8" x14ac:dyDescent="0.25">
      <c r="A20" s="12" t="s">
        <v>14</v>
      </c>
      <c r="B20" s="5">
        <v>504</v>
      </c>
      <c r="C20" s="5">
        <v>458.9</v>
      </c>
      <c r="D20" s="5">
        <v>461.5</v>
      </c>
      <c r="E20" s="5">
        <v>471.9</v>
      </c>
      <c r="F20" s="5">
        <v>459.9</v>
      </c>
      <c r="G20" s="5">
        <v>459.3</v>
      </c>
      <c r="H20" s="10"/>
    </row>
    <row r="21" spans="1:8" x14ac:dyDescent="0.25">
      <c r="A21" s="12" t="s">
        <v>15</v>
      </c>
      <c r="B21" s="5">
        <v>676.8</v>
      </c>
      <c r="C21" s="5">
        <v>578.9</v>
      </c>
      <c r="D21" s="5">
        <v>574</v>
      </c>
      <c r="E21" s="5">
        <v>577.79999999999995</v>
      </c>
      <c r="F21" s="5">
        <v>578.20000000000005</v>
      </c>
      <c r="G21" s="5">
        <v>592.4</v>
      </c>
      <c r="H21" s="10"/>
    </row>
    <row r="22" spans="1:8" x14ac:dyDescent="0.25">
      <c r="A22" s="12" t="s">
        <v>16</v>
      </c>
      <c r="B22" s="5">
        <v>770</v>
      </c>
      <c r="C22" s="5">
        <v>736.9</v>
      </c>
      <c r="D22" s="5">
        <v>747</v>
      </c>
      <c r="E22" s="5">
        <v>750.1</v>
      </c>
      <c r="F22" s="5">
        <v>736.3</v>
      </c>
      <c r="G22" s="5">
        <v>741.9</v>
      </c>
      <c r="H22" s="10"/>
    </row>
    <row r="23" spans="1:8" x14ac:dyDescent="0.25">
      <c r="A23" s="12" t="s">
        <v>17</v>
      </c>
      <c r="B23" s="5">
        <v>649.1</v>
      </c>
      <c r="C23" s="5">
        <v>587.6</v>
      </c>
      <c r="D23" s="5">
        <v>599.29999999999995</v>
      </c>
      <c r="E23" s="5">
        <v>590.70000000000005</v>
      </c>
      <c r="F23" s="5">
        <v>598.70000000000005</v>
      </c>
      <c r="G23" s="5">
        <v>592</v>
      </c>
      <c r="H23" s="10"/>
    </row>
    <row r="24" spans="1:8" x14ac:dyDescent="0.25">
      <c r="A24" s="12" t="s">
        <v>18</v>
      </c>
      <c r="B24" s="5">
        <v>7871.8</v>
      </c>
      <c r="C24" s="5">
        <v>8696.2000000000007</v>
      </c>
      <c r="D24" s="5">
        <v>8650.6</v>
      </c>
      <c r="E24" s="5">
        <v>8555.2999999999993</v>
      </c>
      <c r="F24" s="5">
        <v>8617.1</v>
      </c>
      <c r="G24" s="5">
        <v>8509.6</v>
      </c>
      <c r="H24" s="10"/>
    </row>
    <row r="25" spans="1:8" s="10" customFormat="1" x14ac:dyDescent="0.25">
      <c r="A25" s="13" t="s">
        <v>81</v>
      </c>
      <c r="B25" s="4">
        <v>7286.3</v>
      </c>
      <c r="C25" s="4">
        <v>7007.6</v>
      </c>
      <c r="D25" s="4">
        <v>7108.3</v>
      </c>
      <c r="E25" s="4">
        <v>7209.2</v>
      </c>
      <c r="F25" s="4">
        <v>7221.2</v>
      </c>
      <c r="G25" s="4">
        <v>7248.9</v>
      </c>
    </row>
    <row r="26" spans="1:8" x14ac:dyDescent="0.25">
      <c r="A26" s="12" t="s">
        <v>19</v>
      </c>
      <c r="B26" s="5">
        <v>310.7</v>
      </c>
      <c r="C26" s="5">
        <v>237</v>
      </c>
      <c r="D26" s="5">
        <v>238.1</v>
      </c>
      <c r="E26" s="5">
        <v>234.9</v>
      </c>
      <c r="F26" s="5">
        <v>235.1</v>
      </c>
      <c r="G26" s="5">
        <v>231.2</v>
      </c>
      <c r="H26" s="10"/>
    </row>
    <row r="27" spans="1:8" x14ac:dyDescent="0.25">
      <c r="A27" s="12" t="s">
        <v>20</v>
      </c>
      <c r="B27" s="5">
        <v>472.6</v>
      </c>
      <c r="C27" s="5">
        <v>364.7</v>
      </c>
      <c r="D27" s="5">
        <v>355</v>
      </c>
      <c r="E27" s="5">
        <v>343.2</v>
      </c>
      <c r="F27" s="5">
        <v>335.6</v>
      </c>
      <c r="G27" s="5">
        <v>341.4</v>
      </c>
      <c r="H27" s="10"/>
    </row>
    <row r="28" spans="1:8" x14ac:dyDescent="0.25">
      <c r="A28" s="12" t="s">
        <v>83</v>
      </c>
      <c r="B28" s="5">
        <v>575.6</v>
      </c>
      <c r="C28" s="5">
        <v>469.5</v>
      </c>
      <c r="D28" s="5">
        <v>475.2</v>
      </c>
      <c r="E28" s="5">
        <v>470.1</v>
      </c>
      <c r="F28" s="5">
        <v>460.5</v>
      </c>
      <c r="G28" s="5">
        <v>457.2</v>
      </c>
      <c r="H28" s="10"/>
    </row>
    <row r="29" spans="1:8" x14ac:dyDescent="0.25">
      <c r="A29" s="14" t="s">
        <v>45</v>
      </c>
      <c r="B29" s="5"/>
      <c r="C29" s="5"/>
      <c r="D29" s="5"/>
      <c r="E29" s="5"/>
      <c r="F29" s="5"/>
      <c r="G29" s="5"/>
      <c r="H29" s="10"/>
    </row>
    <row r="30" spans="1:8" x14ac:dyDescent="0.25">
      <c r="A30" s="15" t="s">
        <v>103</v>
      </c>
      <c r="B30" s="5">
        <v>32.5</v>
      </c>
      <c r="C30" s="5">
        <v>31.1</v>
      </c>
      <c r="D30" s="5">
        <v>29.9</v>
      </c>
      <c r="E30" s="5">
        <v>31.3</v>
      </c>
      <c r="F30" s="5">
        <v>30.7</v>
      </c>
      <c r="G30" s="5">
        <v>30.7</v>
      </c>
      <c r="H30" s="10"/>
    </row>
    <row r="31" spans="1:8" ht="26.25" customHeight="1" x14ac:dyDescent="0.25">
      <c r="A31" s="15" t="s">
        <v>104</v>
      </c>
      <c r="B31" s="5">
        <v>543.1</v>
      </c>
      <c r="C31" s="5">
        <v>438.4</v>
      </c>
      <c r="D31" s="5">
        <v>445.3</v>
      </c>
      <c r="E31" s="5">
        <v>438.8</v>
      </c>
      <c r="F31" s="5">
        <v>429.8</v>
      </c>
      <c r="G31" s="5">
        <v>426.5</v>
      </c>
      <c r="H31" s="10"/>
    </row>
    <row r="32" spans="1:8" x14ac:dyDescent="0.25">
      <c r="A32" s="12" t="s">
        <v>21</v>
      </c>
      <c r="B32" s="5">
        <v>608.6</v>
      </c>
      <c r="C32" s="5">
        <v>518.6</v>
      </c>
      <c r="D32" s="5">
        <v>516.29999999999995</v>
      </c>
      <c r="E32" s="5">
        <v>518.6</v>
      </c>
      <c r="F32" s="5">
        <v>503.2</v>
      </c>
      <c r="G32" s="5">
        <v>499.7</v>
      </c>
      <c r="H32" s="10"/>
    </row>
    <row r="33" spans="1:8" x14ac:dyDescent="0.25">
      <c r="A33" s="12" t="s">
        <v>69</v>
      </c>
      <c r="B33" s="5">
        <v>484.5</v>
      </c>
      <c r="C33" s="5">
        <v>472.1</v>
      </c>
      <c r="D33" s="5">
        <v>488.9</v>
      </c>
      <c r="E33" s="5">
        <v>505.9</v>
      </c>
      <c r="F33" s="5">
        <v>519.29999999999995</v>
      </c>
      <c r="G33" s="5">
        <v>533.29999999999995</v>
      </c>
      <c r="H33" s="10"/>
    </row>
    <row r="34" spans="1:8" x14ac:dyDescent="0.25">
      <c r="A34" s="12" t="s">
        <v>70</v>
      </c>
      <c r="B34" s="5">
        <v>837.2</v>
      </c>
      <c r="C34" s="5">
        <v>826.9</v>
      </c>
      <c r="D34" s="5">
        <v>851.2</v>
      </c>
      <c r="E34" s="5">
        <v>924.8</v>
      </c>
      <c r="F34" s="5">
        <v>901.5</v>
      </c>
      <c r="G34" s="5">
        <v>893.7</v>
      </c>
      <c r="H34" s="10"/>
    </row>
    <row r="35" spans="1:8" x14ac:dyDescent="0.25">
      <c r="A35" s="12" t="s">
        <v>22</v>
      </c>
      <c r="B35" s="5">
        <v>417.9</v>
      </c>
      <c r="C35" s="5">
        <v>330.3</v>
      </c>
      <c r="D35" s="5">
        <v>334.2</v>
      </c>
      <c r="E35" s="5">
        <v>316.39999999999998</v>
      </c>
      <c r="F35" s="5">
        <v>313.2</v>
      </c>
      <c r="G35" s="5">
        <v>315.8</v>
      </c>
      <c r="H35" s="10"/>
    </row>
    <row r="36" spans="1:8" x14ac:dyDescent="0.25">
      <c r="A36" s="12" t="s">
        <v>71</v>
      </c>
      <c r="B36" s="5">
        <v>315</v>
      </c>
      <c r="C36" s="5">
        <v>258.89999999999998</v>
      </c>
      <c r="D36" s="5">
        <v>264.60000000000002</v>
      </c>
      <c r="E36" s="5">
        <v>268.2</v>
      </c>
      <c r="F36" s="5">
        <v>273.8</v>
      </c>
      <c r="G36" s="5">
        <v>272.7</v>
      </c>
      <c r="H36" s="10"/>
    </row>
    <row r="37" spans="1:8" x14ac:dyDescent="0.25">
      <c r="A37" s="12" t="s">
        <v>23</v>
      </c>
      <c r="B37" s="5">
        <v>310.5</v>
      </c>
      <c r="C37" s="5">
        <v>270.10000000000002</v>
      </c>
      <c r="D37" s="5">
        <v>271.3</v>
      </c>
      <c r="E37" s="5">
        <v>272.3</v>
      </c>
      <c r="F37" s="5">
        <v>285.2</v>
      </c>
      <c r="G37" s="5">
        <v>286</v>
      </c>
      <c r="H37" s="10"/>
    </row>
    <row r="38" spans="1:8" x14ac:dyDescent="0.25">
      <c r="A38" s="12" t="s">
        <v>24</v>
      </c>
      <c r="B38" s="5">
        <v>2953.7</v>
      </c>
      <c r="C38" s="5">
        <v>3259.5</v>
      </c>
      <c r="D38" s="5">
        <v>3313.4</v>
      </c>
      <c r="E38" s="5">
        <v>3354.9</v>
      </c>
      <c r="F38" s="5">
        <v>3393.9</v>
      </c>
      <c r="G38" s="5">
        <v>3417.9</v>
      </c>
      <c r="H38" s="10"/>
    </row>
    <row r="39" spans="1:8" s="10" customFormat="1" x14ac:dyDescent="0.25">
      <c r="A39" s="11" t="s">
        <v>72</v>
      </c>
      <c r="B39" s="4">
        <v>6478.6</v>
      </c>
      <c r="C39" s="4">
        <v>7465.4</v>
      </c>
      <c r="D39" s="4">
        <v>7730.3</v>
      </c>
      <c r="E39" s="4">
        <v>7856.9</v>
      </c>
      <c r="F39" s="4">
        <v>8057.6</v>
      </c>
      <c r="G39" s="4">
        <v>8150.2</v>
      </c>
    </row>
    <row r="40" spans="1:8" x14ac:dyDescent="0.25">
      <c r="A40" s="1" t="s">
        <v>25</v>
      </c>
      <c r="B40" s="5">
        <v>156.5</v>
      </c>
      <c r="C40" s="5">
        <v>161.1</v>
      </c>
      <c r="D40" s="5">
        <v>162.4</v>
      </c>
      <c r="E40" s="5">
        <v>164.1</v>
      </c>
      <c r="F40" s="5">
        <v>156.69999999999999</v>
      </c>
      <c r="G40" s="5">
        <v>159</v>
      </c>
      <c r="H40" s="10"/>
    </row>
    <row r="41" spans="1:8" x14ac:dyDescent="0.25">
      <c r="A41" s="1" t="s">
        <v>26</v>
      </c>
      <c r="B41" s="5">
        <v>115.1</v>
      </c>
      <c r="C41" s="5">
        <v>103.3</v>
      </c>
      <c r="D41" s="5">
        <v>104.4</v>
      </c>
      <c r="E41" s="5">
        <v>111.1</v>
      </c>
      <c r="F41" s="5">
        <v>111.9</v>
      </c>
      <c r="G41" s="5">
        <v>125.9</v>
      </c>
      <c r="H41" s="10"/>
    </row>
    <row r="42" spans="1:8" x14ac:dyDescent="0.25">
      <c r="A42" s="1" t="s">
        <v>107</v>
      </c>
      <c r="B42" s="5" t="s">
        <v>114</v>
      </c>
      <c r="C42" s="5">
        <v>851.5</v>
      </c>
      <c r="D42" s="5">
        <v>861.8</v>
      </c>
      <c r="E42" s="5">
        <v>853.4</v>
      </c>
      <c r="F42" s="5">
        <v>890.6</v>
      </c>
      <c r="G42" s="5">
        <v>913.1</v>
      </c>
      <c r="H42" s="10"/>
    </row>
    <row r="43" spans="1:8" x14ac:dyDescent="0.25">
      <c r="A43" s="1" t="s">
        <v>27</v>
      </c>
      <c r="B43" s="5">
        <v>2512.5</v>
      </c>
      <c r="C43" s="5">
        <v>2664.5</v>
      </c>
      <c r="D43" s="5">
        <v>2767.7</v>
      </c>
      <c r="E43" s="5">
        <v>2812</v>
      </c>
      <c r="F43" s="5">
        <v>2908</v>
      </c>
      <c r="G43" s="5">
        <v>2901.3</v>
      </c>
      <c r="H43" s="10"/>
    </row>
    <row r="44" spans="1:8" x14ac:dyDescent="0.25">
      <c r="A44" s="1" t="s">
        <v>28</v>
      </c>
      <c r="B44" s="5">
        <v>493.6</v>
      </c>
      <c r="C44" s="5">
        <v>436.6</v>
      </c>
      <c r="D44" s="5">
        <v>448.8</v>
      </c>
      <c r="E44" s="5">
        <v>461.8</v>
      </c>
      <c r="F44" s="5">
        <v>466.8</v>
      </c>
      <c r="G44" s="5">
        <v>484.8</v>
      </c>
      <c r="H44" s="10"/>
    </row>
    <row r="45" spans="1:8" x14ac:dyDescent="0.25">
      <c r="A45" s="1" t="s">
        <v>73</v>
      </c>
      <c r="B45" s="5">
        <v>1243</v>
      </c>
      <c r="C45" s="5">
        <v>1103.4000000000001</v>
      </c>
      <c r="D45" s="5">
        <v>1142</v>
      </c>
      <c r="E45" s="5">
        <v>1172.5</v>
      </c>
      <c r="F45" s="5">
        <v>1180.0999999999999</v>
      </c>
      <c r="G45" s="5">
        <v>1169.2</v>
      </c>
      <c r="H45" s="10"/>
    </row>
    <row r="46" spans="1:8" x14ac:dyDescent="0.25">
      <c r="A46" s="1" t="s">
        <v>29</v>
      </c>
      <c r="B46" s="5">
        <v>1957.9</v>
      </c>
      <c r="C46" s="5">
        <v>1924.7</v>
      </c>
      <c r="D46" s="5">
        <v>2001.9</v>
      </c>
      <c r="E46" s="5">
        <v>2036.9</v>
      </c>
      <c r="F46" s="5">
        <v>2092.1</v>
      </c>
      <c r="G46" s="5">
        <v>2134.8000000000002</v>
      </c>
      <c r="H46" s="10"/>
    </row>
    <row r="47" spans="1:8" x14ac:dyDescent="0.25">
      <c r="A47" s="1" t="s">
        <v>108</v>
      </c>
      <c r="B47" s="5" t="s">
        <v>114</v>
      </c>
      <c r="C47" s="5">
        <v>220.4</v>
      </c>
      <c r="D47" s="5">
        <v>241.3</v>
      </c>
      <c r="E47" s="5">
        <v>245.1</v>
      </c>
      <c r="F47" s="5">
        <v>251.4</v>
      </c>
      <c r="G47" s="5">
        <v>262.2</v>
      </c>
      <c r="H47" s="10"/>
    </row>
    <row r="48" spans="1:8" s="10" customFormat="1" x14ac:dyDescent="0.25">
      <c r="A48" s="13" t="s">
        <v>91</v>
      </c>
      <c r="B48" s="4">
        <v>3650.4</v>
      </c>
      <c r="C48" s="4">
        <v>3793.8</v>
      </c>
      <c r="D48" s="4">
        <v>3907.7</v>
      </c>
      <c r="E48" s="4">
        <v>4118.8</v>
      </c>
      <c r="F48" s="4">
        <v>4190.5</v>
      </c>
      <c r="G48" s="4">
        <v>4308.6000000000004</v>
      </c>
    </row>
    <row r="49" spans="1:8" x14ac:dyDescent="0.25">
      <c r="A49" s="12" t="s">
        <v>30</v>
      </c>
      <c r="B49" s="5">
        <v>1028.0999999999999</v>
      </c>
      <c r="C49" s="5">
        <v>1029.8</v>
      </c>
      <c r="D49" s="5">
        <v>1068.9000000000001</v>
      </c>
      <c r="E49" s="5">
        <v>1161.7</v>
      </c>
      <c r="F49" s="5">
        <v>1230.2</v>
      </c>
      <c r="G49" s="5">
        <v>1268.9000000000001</v>
      </c>
      <c r="H49" s="10"/>
    </row>
    <row r="50" spans="1:8" x14ac:dyDescent="0.25">
      <c r="A50" s="12" t="s">
        <v>74</v>
      </c>
      <c r="B50" s="5">
        <v>134.1</v>
      </c>
      <c r="C50" s="5">
        <v>173.8</v>
      </c>
      <c r="D50" s="5">
        <v>176</v>
      </c>
      <c r="E50" s="5">
        <v>190.9</v>
      </c>
      <c r="F50" s="5">
        <v>198.6</v>
      </c>
      <c r="G50" s="5">
        <v>198.3</v>
      </c>
      <c r="H50" s="10"/>
    </row>
    <row r="51" spans="1:8" x14ac:dyDescent="0.25">
      <c r="A51" s="12" t="s">
        <v>86</v>
      </c>
      <c r="B51" s="5">
        <v>362.6</v>
      </c>
      <c r="C51" s="5">
        <v>368.8</v>
      </c>
      <c r="D51" s="5">
        <v>374</v>
      </c>
      <c r="E51" s="5">
        <v>390.3</v>
      </c>
      <c r="F51" s="5">
        <v>386</v>
      </c>
      <c r="G51" s="5">
        <v>384.6</v>
      </c>
      <c r="H51" s="10"/>
    </row>
    <row r="52" spans="1:8" x14ac:dyDescent="0.25">
      <c r="A52" s="12" t="s">
        <v>75</v>
      </c>
      <c r="B52" s="5">
        <v>179.1</v>
      </c>
      <c r="C52" s="5">
        <v>161.80000000000001</v>
      </c>
      <c r="D52" s="5">
        <v>169</v>
      </c>
      <c r="E52" s="5">
        <v>179.6</v>
      </c>
      <c r="F52" s="5">
        <v>188</v>
      </c>
      <c r="G52" s="5">
        <v>195</v>
      </c>
      <c r="H52" s="10"/>
    </row>
    <row r="53" spans="1:8" x14ac:dyDescent="0.25">
      <c r="A53" s="12" t="s">
        <v>92</v>
      </c>
      <c r="B53" s="5">
        <v>301.7</v>
      </c>
      <c r="C53" s="5">
        <v>252.6</v>
      </c>
      <c r="D53" s="5">
        <v>259.89999999999998</v>
      </c>
      <c r="E53" s="5">
        <v>271.7</v>
      </c>
      <c r="F53" s="5">
        <v>274.2</v>
      </c>
      <c r="G53" s="5">
        <v>275.2</v>
      </c>
      <c r="H53" s="10"/>
    </row>
    <row r="54" spans="1:8" x14ac:dyDescent="0.25">
      <c r="A54" s="12" t="s">
        <v>87</v>
      </c>
      <c r="B54" s="5">
        <v>408.5</v>
      </c>
      <c r="C54" s="5">
        <v>515.9</v>
      </c>
      <c r="D54" s="5">
        <v>539.70000000000005</v>
      </c>
      <c r="E54" s="5">
        <v>574.6</v>
      </c>
      <c r="F54" s="5">
        <v>569.20000000000005</v>
      </c>
      <c r="G54" s="5">
        <v>575.4</v>
      </c>
      <c r="H54" s="10"/>
    </row>
    <row r="55" spans="1:8" x14ac:dyDescent="0.25">
      <c r="A55" s="12" t="s">
        <v>31</v>
      </c>
      <c r="B55" s="5">
        <v>1236.4000000000001</v>
      </c>
      <c r="C55" s="5">
        <v>1291.0999999999999</v>
      </c>
      <c r="D55" s="5">
        <v>1320.2</v>
      </c>
      <c r="E55" s="5">
        <v>1350</v>
      </c>
      <c r="F55" s="5">
        <v>1344.4</v>
      </c>
      <c r="G55" s="5">
        <v>1411</v>
      </c>
      <c r="H55" s="10"/>
    </row>
    <row r="56" spans="1:8" s="10" customFormat="1" x14ac:dyDescent="0.25">
      <c r="A56" s="13" t="s">
        <v>82</v>
      </c>
      <c r="B56" s="4">
        <v>14579.5</v>
      </c>
      <c r="C56" s="4">
        <v>13179.7</v>
      </c>
      <c r="D56" s="4">
        <v>13492.7</v>
      </c>
      <c r="E56" s="4">
        <v>13551.1</v>
      </c>
      <c r="F56" s="4">
        <v>13695.9</v>
      </c>
      <c r="G56" s="4">
        <v>13710.9</v>
      </c>
    </row>
    <row r="57" spans="1:8" x14ac:dyDescent="0.25">
      <c r="A57" s="12" t="s">
        <v>76</v>
      </c>
      <c r="B57" s="5">
        <v>1825.1</v>
      </c>
      <c r="C57" s="5">
        <v>1622.4</v>
      </c>
      <c r="D57" s="5">
        <v>1689.2</v>
      </c>
      <c r="E57" s="5">
        <v>1724.7</v>
      </c>
      <c r="F57" s="5">
        <v>1730</v>
      </c>
      <c r="G57" s="5">
        <v>1728.3</v>
      </c>
      <c r="H57" s="10"/>
    </row>
    <row r="58" spans="1:8" x14ac:dyDescent="0.25">
      <c r="A58" s="12" t="s">
        <v>32</v>
      </c>
      <c r="B58" s="5">
        <v>319.39999999999998</v>
      </c>
      <c r="C58" s="5">
        <v>268.3</v>
      </c>
      <c r="D58" s="5">
        <v>275.2</v>
      </c>
      <c r="E58" s="5">
        <v>272.60000000000002</v>
      </c>
      <c r="F58" s="5">
        <v>280.7</v>
      </c>
      <c r="G58" s="5">
        <v>299</v>
      </c>
      <c r="H58" s="10"/>
    </row>
    <row r="59" spans="1:8" x14ac:dyDescent="0.25">
      <c r="A59" s="12" t="s">
        <v>33</v>
      </c>
      <c r="B59" s="5">
        <v>426.3</v>
      </c>
      <c r="C59" s="5">
        <v>365.9</v>
      </c>
      <c r="D59" s="5">
        <v>374.4</v>
      </c>
      <c r="E59" s="5">
        <v>386.4</v>
      </c>
      <c r="F59" s="5">
        <v>369.3</v>
      </c>
      <c r="G59" s="5">
        <v>366.8</v>
      </c>
      <c r="H59" s="10"/>
    </row>
    <row r="60" spans="1:8" x14ac:dyDescent="0.25">
      <c r="A60" s="12" t="s">
        <v>34</v>
      </c>
      <c r="B60" s="5">
        <v>1949.3</v>
      </c>
      <c r="C60" s="5">
        <v>1998.2</v>
      </c>
      <c r="D60" s="5">
        <v>2049.8000000000002</v>
      </c>
      <c r="E60" s="5">
        <v>2062.9</v>
      </c>
      <c r="F60" s="5">
        <v>2036.5</v>
      </c>
      <c r="G60" s="5">
        <v>2051.8000000000002</v>
      </c>
      <c r="H60" s="10"/>
    </row>
    <row r="61" spans="1:8" x14ac:dyDescent="0.25">
      <c r="A61" s="12" t="s">
        <v>84</v>
      </c>
      <c r="B61" s="5">
        <v>761.7</v>
      </c>
      <c r="C61" s="5">
        <v>667.4</v>
      </c>
      <c r="D61" s="5">
        <v>679</v>
      </c>
      <c r="E61" s="5">
        <v>670.3</v>
      </c>
      <c r="F61" s="5">
        <v>681.5</v>
      </c>
      <c r="G61" s="5">
        <v>679.2</v>
      </c>
      <c r="H61" s="10"/>
    </row>
    <row r="62" spans="1:8" x14ac:dyDescent="0.25">
      <c r="A62" s="12" t="s">
        <v>77</v>
      </c>
      <c r="B62" s="5">
        <v>597.9</v>
      </c>
      <c r="C62" s="5">
        <v>475.3</v>
      </c>
      <c r="D62" s="5">
        <v>489.4</v>
      </c>
      <c r="E62" s="5">
        <v>488.8</v>
      </c>
      <c r="F62" s="5">
        <v>508.7</v>
      </c>
      <c r="G62" s="5">
        <v>509.6</v>
      </c>
      <c r="H62" s="10"/>
    </row>
    <row r="63" spans="1:8" x14ac:dyDescent="0.25">
      <c r="A63" s="12" t="s">
        <v>35</v>
      </c>
      <c r="B63" s="5">
        <v>1248.5</v>
      </c>
      <c r="C63" s="5">
        <v>1100.2</v>
      </c>
      <c r="D63" s="5">
        <v>1142.0999999999999</v>
      </c>
      <c r="E63" s="5">
        <v>1129</v>
      </c>
      <c r="F63" s="5">
        <v>1145.5999999999999</v>
      </c>
      <c r="G63" s="5">
        <v>1129.5999999999999</v>
      </c>
      <c r="H63" s="10"/>
    </row>
    <row r="64" spans="1:8" x14ac:dyDescent="0.25">
      <c r="A64" s="12" t="s">
        <v>36</v>
      </c>
      <c r="B64" s="5">
        <v>624.9</v>
      </c>
      <c r="C64" s="5">
        <v>532.9</v>
      </c>
      <c r="D64" s="5">
        <v>532.6</v>
      </c>
      <c r="E64" s="5">
        <v>527.5</v>
      </c>
      <c r="F64" s="5">
        <v>530</v>
      </c>
      <c r="G64" s="5">
        <v>532.4</v>
      </c>
      <c r="H64" s="10"/>
    </row>
    <row r="65" spans="1:8" x14ac:dyDescent="0.25">
      <c r="A65" s="12" t="s">
        <v>78</v>
      </c>
      <c r="B65" s="5">
        <v>1728.1</v>
      </c>
      <c r="C65" s="5">
        <v>1588.2</v>
      </c>
      <c r="D65" s="5">
        <v>1618.5</v>
      </c>
      <c r="E65" s="5">
        <v>1618.8</v>
      </c>
      <c r="F65" s="5">
        <v>1660.5</v>
      </c>
      <c r="G65" s="5">
        <v>1628.6</v>
      </c>
      <c r="H65" s="10"/>
    </row>
    <row r="66" spans="1:8" x14ac:dyDescent="0.25">
      <c r="A66" s="12" t="s">
        <v>37</v>
      </c>
      <c r="B66" s="5">
        <v>960.4</v>
      </c>
      <c r="C66" s="5">
        <v>816</v>
      </c>
      <c r="D66" s="5">
        <v>833.1</v>
      </c>
      <c r="E66" s="5">
        <v>822.8</v>
      </c>
      <c r="F66" s="5">
        <v>848.3</v>
      </c>
      <c r="G66" s="5">
        <v>866.2</v>
      </c>
      <c r="H66" s="10"/>
    </row>
    <row r="67" spans="1:8" x14ac:dyDescent="0.25">
      <c r="A67" s="12" t="s">
        <v>38</v>
      </c>
      <c r="B67" s="5">
        <v>638.9</v>
      </c>
      <c r="C67" s="5">
        <v>554</v>
      </c>
      <c r="D67" s="5">
        <v>576.4</v>
      </c>
      <c r="E67" s="5">
        <v>558.5</v>
      </c>
      <c r="F67" s="5">
        <v>580.5</v>
      </c>
      <c r="G67" s="5">
        <v>588.79999999999995</v>
      </c>
      <c r="H67" s="10"/>
    </row>
    <row r="68" spans="1:8" x14ac:dyDescent="0.25">
      <c r="A68" s="12" t="s">
        <v>39</v>
      </c>
      <c r="B68" s="5">
        <v>1740.5</v>
      </c>
      <c r="C68" s="5">
        <v>1613.5</v>
      </c>
      <c r="D68" s="5">
        <v>1638.1</v>
      </c>
      <c r="E68" s="5">
        <v>1634.1</v>
      </c>
      <c r="F68" s="5">
        <v>1646.3</v>
      </c>
      <c r="G68" s="5">
        <v>1626.5</v>
      </c>
      <c r="H68" s="10"/>
    </row>
    <row r="69" spans="1:8" x14ac:dyDescent="0.25">
      <c r="A69" s="12" t="s">
        <v>40</v>
      </c>
      <c r="B69" s="5">
        <v>1155.7</v>
      </c>
      <c r="C69" s="5">
        <v>1038.7</v>
      </c>
      <c r="D69" s="5">
        <v>1055.9000000000001</v>
      </c>
      <c r="E69" s="5">
        <v>1095.5999999999999</v>
      </c>
      <c r="F69" s="5">
        <v>1120.4000000000001</v>
      </c>
      <c r="G69" s="5">
        <v>1147.9000000000001</v>
      </c>
      <c r="H69" s="10"/>
    </row>
    <row r="70" spans="1:8" x14ac:dyDescent="0.25">
      <c r="A70" s="12" t="s">
        <v>41</v>
      </c>
      <c r="B70" s="5">
        <v>602.6</v>
      </c>
      <c r="C70" s="5">
        <v>538.70000000000005</v>
      </c>
      <c r="D70" s="5">
        <v>539</v>
      </c>
      <c r="E70" s="5">
        <v>559.29999999999995</v>
      </c>
      <c r="F70" s="5">
        <v>557.70000000000005</v>
      </c>
      <c r="G70" s="5">
        <v>556.1</v>
      </c>
      <c r="H70" s="10"/>
    </row>
    <row r="71" spans="1:8" s="10" customFormat="1" x14ac:dyDescent="0.25">
      <c r="A71" s="13" t="s">
        <v>79</v>
      </c>
      <c r="B71" s="4">
        <v>6458.3</v>
      </c>
      <c r="C71" s="4">
        <v>6165.3</v>
      </c>
      <c r="D71" s="4">
        <v>6297</v>
      </c>
      <c r="E71" s="4">
        <v>6247.5</v>
      </c>
      <c r="F71" s="4">
        <v>6448.6</v>
      </c>
      <c r="G71" s="4">
        <v>6497.1</v>
      </c>
    </row>
    <row r="72" spans="1:8" x14ac:dyDescent="0.25">
      <c r="A72" s="12" t="s">
        <v>42</v>
      </c>
      <c r="B72" s="5">
        <v>383.1</v>
      </c>
      <c r="C72" s="5">
        <v>301.8</v>
      </c>
      <c r="D72" s="5">
        <v>293.60000000000002</v>
      </c>
      <c r="E72" s="5">
        <v>294.39999999999998</v>
      </c>
      <c r="F72" s="5">
        <v>308.60000000000002</v>
      </c>
      <c r="G72" s="5">
        <v>313.89999999999998</v>
      </c>
      <c r="H72" s="10"/>
    </row>
    <row r="73" spans="1:8" x14ac:dyDescent="0.25">
      <c r="A73" s="12" t="s">
        <v>43</v>
      </c>
      <c r="B73" s="5">
        <v>2174.6999999999998</v>
      </c>
      <c r="C73" s="5">
        <v>1953.9</v>
      </c>
      <c r="D73" s="5">
        <v>2024.8</v>
      </c>
      <c r="E73" s="5">
        <v>2020.1</v>
      </c>
      <c r="F73" s="5">
        <v>2095.1999999999998</v>
      </c>
      <c r="G73" s="5">
        <v>2104.5</v>
      </c>
      <c r="H73" s="10"/>
    </row>
    <row r="74" spans="1:8" x14ac:dyDescent="0.25">
      <c r="A74" s="12" t="s">
        <v>44</v>
      </c>
      <c r="B74" s="5">
        <v>2170</v>
      </c>
      <c r="C74" s="5">
        <v>2190.8000000000002</v>
      </c>
      <c r="D74" s="5">
        <v>2230.3000000000002</v>
      </c>
      <c r="E74" s="5">
        <v>2210.1999999999998</v>
      </c>
      <c r="F74" s="5">
        <v>2258.6</v>
      </c>
      <c r="G74" s="5">
        <v>2272.8000000000002</v>
      </c>
      <c r="H74" s="10"/>
    </row>
    <row r="75" spans="1:8" x14ac:dyDescent="0.25">
      <c r="A75" s="14" t="s">
        <v>45</v>
      </c>
      <c r="B75" s="5"/>
      <c r="C75" s="5"/>
      <c r="D75" s="5"/>
      <c r="E75" s="5"/>
      <c r="F75" s="5"/>
      <c r="G75" s="5"/>
      <c r="H75" s="10"/>
    </row>
    <row r="76" spans="1:8" x14ac:dyDescent="0.25">
      <c r="A76" s="15" t="s">
        <v>85</v>
      </c>
      <c r="B76" s="5">
        <v>1023.5</v>
      </c>
      <c r="C76" s="5">
        <v>1070.0999999999999</v>
      </c>
      <c r="D76" s="5">
        <v>1091.5</v>
      </c>
      <c r="E76" s="5">
        <v>1075.5</v>
      </c>
      <c r="F76" s="5">
        <v>1101.9000000000001</v>
      </c>
      <c r="G76" s="5">
        <v>1099.0999999999999</v>
      </c>
      <c r="H76" s="10"/>
    </row>
    <row r="77" spans="1:8" x14ac:dyDescent="0.25">
      <c r="A77" s="15" t="s">
        <v>88</v>
      </c>
      <c r="B77" s="5">
        <v>387.7</v>
      </c>
      <c r="C77" s="5">
        <v>400.1</v>
      </c>
      <c r="D77" s="5">
        <v>405.4</v>
      </c>
      <c r="E77" s="5">
        <v>400.7</v>
      </c>
      <c r="F77" s="5">
        <v>409.2</v>
      </c>
      <c r="G77" s="5">
        <v>411.1</v>
      </c>
      <c r="H77" s="10"/>
    </row>
    <row r="78" spans="1:8" x14ac:dyDescent="0.25">
      <c r="A78" s="15" t="s">
        <v>105</v>
      </c>
      <c r="B78" s="5">
        <v>758.8</v>
      </c>
      <c r="C78" s="5">
        <v>720.6</v>
      </c>
      <c r="D78" s="5">
        <v>733.5</v>
      </c>
      <c r="E78" s="5">
        <v>734</v>
      </c>
      <c r="F78" s="5">
        <v>747.4</v>
      </c>
      <c r="G78" s="5">
        <v>762.6</v>
      </c>
      <c r="H78" s="10"/>
    </row>
    <row r="79" spans="1:8" x14ac:dyDescent="0.25">
      <c r="A79" s="12" t="s">
        <v>46</v>
      </c>
      <c r="B79" s="5">
        <v>1730.5</v>
      </c>
      <c r="C79" s="5">
        <v>1718.8</v>
      </c>
      <c r="D79" s="5">
        <v>1748.2</v>
      </c>
      <c r="E79" s="5">
        <v>1722.8</v>
      </c>
      <c r="F79" s="5">
        <v>1786.3</v>
      </c>
      <c r="G79" s="5">
        <v>1805.9</v>
      </c>
      <c r="H79" s="10"/>
    </row>
    <row r="80" spans="1:8" s="10" customFormat="1" x14ac:dyDescent="0.25">
      <c r="A80" s="13" t="s">
        <v>80</v>
      </c>
      <c r="B80" s="4">
        <v>8121.2</v>
      </c>
      <c r="C80" s="4">
        <v>7501.9</v>
      </c>
      <c r="D80" s="4">
        <v>7684.2</v>
      </c>
      <c r="E80" s="4">
        <v>7721.2</v>
      </c>
      <c r="F80" s="4">
        <v>7795.2</v>
      </c>
      <c r="G80" s="4">
        <v>7879</v>
      </c>
    </row>
    <row r="81" spans="1:8" x14ac:dyDescent="0.25">
      <c r="A81" s="12" t="s">
        <v>47</v>
      </c>
      <c r="B81" s="5">
        <v>88</v>
      </c>
      <c r="C81" s="5">
        <v>77.5</v>
      </c>
      <c r="D81" s="5">
        <v>78.8</v>
      </c>
      <c r="E81" s="5">
        <v>79.3</v>
      </c>
      <c r="F81" s="5">
        <v>80.5</v>
      </c>
      <c r="G81" s="5">
        <v>84.1</v>
      </c>
      <c r="H81" s="10"/>
    </row>
    <row r="82" spans="1:8" x14ac:dyDescent="0.25">
      <c r="A82" s="12" t="s">
        <v>49</v>
      </c>
      <c r="B82" s="5">
        <v>101.7</v>
      </c>
      <c r="C82" s="5">
        <v>103.9</v>
      </c>
      <c r="D82" s="5">
        <v>106.1</v>
      </c>
      <c r="E82" s="5">
        <v>113.7</v>
      </c>
      <c r="F82" s="5">
        <v>112.3</v>
      </c>
      <c r="G82" s="5">
        <v>120.3</v>
      </c>
      <c r="H82" s="10"/>
    </row>
    <row r="83" spans="1:8" x14ac:dyDescent="0.25">
      <c r="A83" s="12" t="s">
        <v>50</v>
      </c>
      <c r="B83" s="5">
        <v>253.2</v>
      </c>
      <c r="C83" s="5">
        <v>209.4</v>
      </c>
      <c r="D83" s="5">
        <v>230</v>
      </c>
      <c r="E83" s="5">
        <v>235.1</v>
      </c>
      <c r="F83" s="5">
        <v>248.2</v>
      </c>
      <c r="G83" s="5">
        <v>246.2</v>
      </c>
      <c r="H83" s="10"/>
    </row>
    <row r="84" spans="1:8" x14ac:dyDescent="0.25">
      <c r="A84" s="12" t="s">
        <v>51</v>
      </c>
      <c r="B84" s="5">
        <v>1093.4000000000001</v>
      </c>
      <c r="C84" s="5">
        <v>933.2</v>
      </c>
      <c r="D84" s="5">
        <v>957.3</v>
      </c>
      <c r="E84" s="5">
        <v>1021</v>
      </c>
      <c r="F84" s="5">
        <v>1057.8</v>
      </c>
      <c r="G84" s="5">
        <v>1069.5</v>
      </c>
      <c r="H84" s="10"/>
    </row>
    <row r="85" spans="1:8" x14ac:dyDescent="0.25">
      <c r="A85" s="12" t="s">
        <v>53</v>
      </c>
      <c r="B85" s="5">
        <v>1437.9</v>
      </c>
      <c r="C85" s="5">
        <v>1362.7</v>
      </c>
      <c r="D85" s="5">
        <v>1407.3</v>
      </c>
      <c r="E85" s="5">
        <v>1378.8</v>
      </c>
      <c r="F85" s="5">
        <v>1409.4</v>
      </c>
      <c r="G85" s="5">
        <v>1445.5</v>
      </c>
      <c r="H85" s="10"/>
    </row>
    <row r="86" spans="1:8" x14ac:dyDescent="0.25">
      <c r="A86" s="12" t="s">
        <v>54</v>
      </c>
      <c r="B86" s="5">
        <v>1155.0999999999999</v>
      </c>
      <c r="C86" s="5">
        <v>1051.7</v>
      </c>
      <c r="D86" s="5">
        <v>1073.3</v>
      </c>
      <c r="E86" s="5">
        <v>1097.4000000000001</v>
      </c>
      <c r="F86" s="5">
        <v>1093.7</v>
      </c>
      <c r="G86" s="5">
        <v>1102.5999999999999</v>
      </c>
      <c r="H86" s="10"/>
    </row>
    <row r="87" spans="1:8" x14ac:dyDescent="0.25">
      <c r="A87" s="12" t="s">
        <v>55</v>
      </c>
      <c r="B87" s="5">
        <v>1284.3</v>
      </c>
      <c r="C87" s="5">
        <v>1142.7</v>
      </c>
      <c r="D87" s="5">
        <v>1152.5999999999999</v>
      </c>
      <c r="E87" s="5">
        <v>1153.5999999999999</v>
      </c>
      <c r="F87" s="5">
        <v>1148.0999999999999</v>
      </c>
      <c r="G87" s="5">
        <v>1153.7</v>
      </c>
      <c r="H87" s="10"/>
    </row>
    <row r="88" spans="1:8" x14ac:dyDescent="0.25">
      <c r="A88" s="12" t="s">
        <v>56</v>
      </c>
      <c r="B88" s="5">
        <v>1287.9000000000001</v>
      </c>
      <c r="C88" s="5">
        <v>1285.2</v>
      </c>
      <c r="D88" s="5">
        <v>1327.2</v>
      </c>
      <c r="E88" s="5">
        <v>1304.9000000000001</v>
      </c>
      <c r="F88" s="5">
        <v>1314.9</v>
      </c>
      <c r="G88" s="5">
        <v>1314</v>
      </c>
      <c r="H88" s="10"/>
    </row>
    <row r="89" spans="1:8" x14ac:dyDescent="0.25">
      <c r="A89" s="12" t="s">
        <v>57</v>
      </c>
      <c r="B89" s="5">
        <v>938.5</v>
      </c>
      <c r="C89" s="5">
        <v>866.1</v>
      </c>
      <c r="D89" s="5">
        <v>864.5</v>
      </c>
      <c r="E89" s="5">
        <v>853.2</v>
      </c>
      <c r="F89" s="5">
        <v>835.8</v>
      </c>
      <c r="G89" s="5">
        <v>831.9</v>
      </c>
      <c r="H89" s="10"/>
    </row>
    <row r="90" spans="1:8" x14ac:dyDescent="0.25">
      <c r="A90" s="12" t="s">
        <v>58</v>
      </c>
      <c r="B90" s="5">
        <v>481.2</v>
      </c>
      <c r="C90" s="5">
        <v>469.5</v>
      </c>
      <c r="D90" s="5">
        <v>487.1</v>
      </c>
      <c r="E90" s="5">
        <v>484.2</v>
      </c>
      <c r="F90" s="5">
        <v>494.5</v>
      </c>
      <c r="G90" s="5">
        <v>511.2</v>
      </c>
      <c r="H90" s="10"/>
    </row>
    <row r="91" spans="1:8" s="10" customFormat="1" x14ac:dyDescent="0.25">
      <c r="A91" s="13" t="s">
        <v>68</v>
      </c>
      <c r="B91" s="4">
        <v>4136.5</v>
      </c>
      <c r="C91" s="4">
        <v>3882.7</v>
      </c>
      <c r="D91" s="4">
        <v>3915.6</v>
      </c>
      <c r="E91" s="4">
        <v>3895.1</v>
      </c>
      <c r="F91" s="4">
        <v>3965</v>
      </c>
      <c r="G91" s="4">
        <v>4011.1</v>
      </c>
    </row>
    <row r="92" spans="1:8" x14ac:dyDescent="0.25">
      <c r="A92" s="12" t="s">
        <v>48</v>
      </c>
      <c r="B92" s="5">
        <v>401</v>
      </c>
      <c r="C92" s="5">
        <v>351.3</v>
      </c>
      <c r="D92" s="5">
        <v>368.6</v>
      </c>
      <c r="E92" s="5">
        <v>363.7</v>
      </c>
      <c r="F92" s="5">
        <v>376.8</v>
      </c>
      <c r="G92" s="5">
        <v>373.2</v>
      </c>
      <c r="H92" s="10"/>
    </row>
    <row r="93" spans="1:8" x14ac:dyDescent="0.25">
      <c r="A93" s="12" t="s">
        <v>67</v>
      </c>
      <c r="B93" s="5">
        <v>482.2</v>
      </c>
      <c r="C93" s="5">
        <v>491.8</v>
      </c>
      <c r="D93" s="5">
        <v>495.2</v>
      </c>
      <c r="E93" s="5">
        <v>508.9</v>
      </c>
      <c r="F93" s="5">
        <v>526.70000000000005</v>
      </c>
      <c r="G93" s="5">
        <v>541.1</v>
      </c>
      <c r="H93" s="10"/>
    </row>
    <row r="94" spans="1:8" x14ac:dyDescent="0.25">
      <c r="A94" s="12" t="s">
        <v>52</v>
      </c>
      <c r="B94" s="5">
        <v>488.2</v>
      </c>
      <c r="C94" s="5">
        <v>445.6</v>
      </c>
      <c r="D94" s="5">
        <v>447.7</v>
      </c>
      <c r="E94" s="5">
        <v>435.9</v>
      </c>
      <c r="F94" s="5">
        <v>427.4</v>
      </c>
      <c r="G94" s="5">
        <v>428.2</v>
      </c>
      <c r="H94" s="10"/>
    </row>
    <row r="95" spans="1:8" x14ac:dyDescent="0.25">
      <c r="A95" s="12" t="s">
        <v>59</v>
      </c>
      <c r="B95" s="5">
        <v>169.5</v>
      </c>
      <c r="C95" s="5">
        <v>168.3</v>
      </c>
      <c r="D95" s="5">
        <v>165.9</v>
      </c>
      <c r="E95" s="5">
        <v>157.6</v>
      </c>
      <c r="F95" s="5">
        <v>161.4</v>
      </c>
      <c r="G95" s="5">
        <v>159.69999999999999</v>
      </c>
      <c r="H95" s="10"/>
    </row>
    <row r="96" spans="1:8" x14ac:dyDescent="0.25">
      <c r="A96" s="12" t="s">
        <v>60</v>
      </c>
      <c r="B96" s="5">
        <v>975.9</v>
      </c>
      <c r="C96" s="5">
        <v>922.6</v>
      </c>
      <c r="D96" s="5">
        <v>932.3</v>
      </c>
      <c r="E96" s="5">
        <v>925.3</v>
      </c>
      <c r="F96" s="5">
        <v>936.2</v>
      </c>
      <c r="G96" s="5">
        <v>960.3</v>
      </c>
      <c r="H96" s="10"/>
    </row>
    <row r="97" spans="1:8" x14ac:dyDescent="0.25">
      <c r="A97" s="12" t="s">
        <v>61</v>
      </c>
      <c r="B97" s="5">
        <v>692.1</v>
      </c>
      <c r="C97" s="5">
        <v>664.7</v>
      </c>
      <c r="D97" s="5">
        <v>671</v>
      </c>
      <c r="E97" s="5">
        <v>666.1</v>
      </c>
      <c r="F97" s="5">
        <v>679.7</v>
      </c>
      <c r="G97" s="5">
        <v>696.5</v>
      </c>
      <c r="H97" s="10"/>
    </row>
    <row r="98" spans="1:8" x14ac:dyDescent="0.25">
      <c r="A98" s="12" t="s">
        <v>62</v>
      </c>
      <c r="B98" s="5">
        <v>423.2</v>
      </c>
      <c r="C98" s="5">
        <v>378.7</v>
      </c>
      <c r="D98" s="5">
        <v>378.6</v>
      </c>
      <c r="E98" s="5">
        <v>380.7</v>
      </c>
      <c r="F98" s="5">
        <v>399.9</v>
      </c>
      <c r="G98" s="5">
        <v>402.1</v>
      </c>
      <c r="H98" s="10"/>
    </row>
    <row r="99" spans="1:8" x14ac:dyDescent="0.25">
      <c r="A99" s="12" t="s">
        <v>63</v>
      </c>
      <c r="B99" s="5">
        <v>98.6</v>
      </c>
      <c r="C99" s="5">
        <v>88.9</v>
      </c>
      <c r="D99" s="5">
        <v>90.3</v>
      </c>
      <c r="E99" s="5">
        <v>87</v>
      </c>
      <c r="F99" s="5">
        <v>84.5</v>
      </c>
      <c r="G99" s="5">
        <v>83</v>
      </c>
      <c r="H99" s="10"/>
    </row>
    <row r="100" spans="1:8" x14ac:dyDescent="0.25">
      <c r="A100" s="12" t="s">
        <v>64</v>
      </c>
      <c r="B100" s="5">
        <v>292.39999999999998</v>
      </c>
      <c r="C100" s="5">
        <v>274.5</v>
      </c>
      <c r="D100" s="5">
        <v>269.7</v>
      </c>
      <c r="E100" s="5">
        <v>274.8</v>
      </c>
      <c r="F100" s="5">
        <v>280.10000000000002</v>
      </c>
      <c r="G100" s="5">
        <v>268.8</v>
      </c>
      <c r="H100" s="10"/>
    </row>
    <row r="101" spans="1:8" x14ac:dyDescent="0.25">
      <c r="A101" s="12" t="s">
        <v>65</v>
      </c>
      <c r="B101" s="5">
        <v>76.900000000000006</v>
      </c>
      <c r="C101" s="5">
        <v>63.4</v>
      </c>
      <c r="D101" s="5">
        <v>61.9</v>
      </c>
      <c r="E101" s="5">
        <v>62.4</v>
      </c>
      <c r="F101" s="5">
        <v>60.2</v>
      </c>
      <c r="G101" s="5">
        <v>64</v>
      </c>
      <c r="H101" s="10"/>
    </row>
    <row r="102" spans="1:8" ht="15.75" thickBot="1" x14ac:dyDescent="0.3">
      <c r="A102" s="16" t="s">
        <v>66</v>
      </c>
      <c r="B102" s="7">
        <v>36.6</v>
      </c>
      <c r="C102" s="5">
        <v>32.9</v>
      </c>
      <c r="D102" s="5">
        <v>34.4</v>
      </c>
      <c r="E102" s="5">
        <v>32.799999999999997</v>
      </c>
      <c r="F102" s="5">
        <v>32</v>
      </c>
      <c r="G102" s="5">
        <v>34.1</v>
      </c>
      <c r="H102" s="10"/>
    </row>
    <row r="103" spans="1:8" ht="15" customHeight="1" x14ac:dyDescent="0.25">
      <c r="A103" s="51" t="s">
        <v>132</v>
      </c>
      <c r="B103" s="51"/>
      <c r="C103" s="51"/>
      <c r="D103" s="51"/>
      <c r="E103" s="51"/>
      <c r="F103" s="51"/>
      <c r="G103" s="51"/>
      <c r="H103" s="10"/>
    </row>
    <row r="104" spans="1:8" x14ac:dyDescent="0.25">
      <c r="A104" s="6"/>
      <c r="B104" s="6"/>
    </row>
  </sheetData>
  <customSheetViews>
    <customSheetView guid="{8022249A-38EC-4E73-9E7D-189E61894E59}" scale="140" showPageBreaks="1">
      <pane ySplit="3" topLeftCell="A46" activePane="bottomLeft" state="frozen"/>
      <selection pane="bottomLeft" activeCell="G125" sqref="G125"/>
      <pageMargins left="0.7" right="0.7" top="0.75" bottom="0.75" header="0.3" footer="0.3"/>
      <pageSetup paperSize="9" orientation="portrait" r:id="rId1"/>
    </customSheetView>
    <customSheetView guid="{F3F4C7FF-8EBE-4D52-9E48-0CCB4CC80F2C}" scale="140">
      <pane ySplit="3" topLeftCell="A4" activePane="bottomLeft" state="frozen"/>
      <selection pane="bottomLeft" activeCell="B86" sqref="B86"/>
      <pageMargins left="0.7" right="0.7" top="0.75" bottom="0.75" header="0.3" footer="0.3"/>
      <pageSetup paperSize="9" orientation="portrait" r:id="rId2"/>
    </customSheetView>
    <customSheetView guid="{5DBE6FD9-68D5-4F02-A25A-52A2FB41D9C1}" scale="140">
      <pane ySplit="3" topLeftCell="A4" activePane="bottomLeft" state="frozen"/>
      <selection pane="bottomLeft" activeCell="B86" sqref="B86"/>
      <pageMargins left="0.7" right="0.7" top="0.75" bottom="0.75" header="0.3" footer="0.3"/>
      <pageSetup paperSize="9" orientation="portrait" r:id="rId3"/>
    </customSheetView>
  </customSheetViews>
  <mergeCells count="3">
    <mergeCell ref="A2:G2"/>
    <mergeCell ref="A3:G3"/>
    <mergeCell ref="A103:G103"/>
  </mergeCells>
  <hyperlinks>
    <hyperlink ref="A1" location="Содержание!A1" display="К содержанию"/>
  </hyperlinks>
  <pageMargins left="0.70866141732283472" right="0.47244094488188981" top="0.74803149606299213" bottom="0.74803149606299213" header="0.31496062992125984" footer="0.31496062992125984"/>
  <pageSetup paperSize="9" scale="95" orientation="portrait" r:id="rId4"/>
  <rowBreaks count="1" manualBreakCount="1">
    <brk id="51" max="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4"/>
  <sheetViews>
    <sheetView zoomScaleNormal="100" zoomScaleSheetLayoutView="100" workbookViewId="0"/>
  </sheetViews>
  <sheetFormatPr defaultRowHeight="15" x14ac:dyDescent="0.25"/>
  <cols>
    <col min="1" max="1" width="19.42578125" style="2" customWidth="1"/>
    <col min="2" max="2" width="9.140625" style="2"/>
    <col min="3" max="3" width="12" style="2" customWidth="1"/>
    <col min="4" max="4" width="11.140625" style="2" customWidth="1"/>
    <col min="5" max="5" width="10.7109375" style="2" customWidth="1"/>
    <col min="6" max="6" width="10" style="2" customWidth="1"/>
    <col min="7" max="7" width="9.140625" style="2"/>
    <col min="8" max="8" width="10.28515625" style="2" customWidth="1"/>
    <col min="9" max="9" width="12.140625" style="2" customWidth="1"/>
    <col min="10" max="10" width="11.5703125" style="2" customWidth="1"/>
    <col min="11" max="11" width="10.5703125" style="2" customWidth="1"/>
    <col min="12" max="12" width="10" style="2" customWidth="1"/>
    <col min="13" max="13" width="9.140625" style="2"/>
    <col min="14" max="14" width="10.140625" style="2" customWidth="1"/>
    <col min="15" max="16384" width="9.140625" style="2"/>
  </cols>
  <sheetData>
    <row r="1" spans="1:14" ht="23.25" x14ac:dyDescent="0.6">
      <c r="A1" s="24" t="s">
        <v>115</v>
      </c>
    </row>
    <row r="2" spans="1:14" ht="20.25" customHeight="1" x14ac:dyDescent="0.25">
      <c r="A2" s="49" t="s">
        <v>113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4" ht="15.75" thickBot="1" x14ac:dyDescent="0.3">
      <c r="A3" s="50" t="s">
        <v>93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</row>
    <row r="4" spans="1:14" ht="15.75" thickBot="1" x14ac:dyDescent="0.3">
      <c r="A4" s="59"/>
      <c r="B4" s="56" t="s">
        <v>94</v>
      </c>
      <c r="C4" s="52">
        <v>2023</v>
      </c>
      <c r="D4" s="52"/>
      <c r="E4" s="52"/>
      <c r="F4" s="52"/>
      <c r="G4" s="52"/>
      <c r="H4" s="55"/>
      <c r="I4" s="52">
        <v>2024</v>
      </c>
      <c r="J4" s="52"/>
      <c r="K4" s="52"/>
      <c r="L4" s="52"/>
      <c r="M4" s="52"/>
      <c r="N4" s="52"/>
    </row>
    <row r="5" spans="1:14" ht="16.5" customHeight="1" thickBot="1" x14ac:dyDescent="0.3">
      <c r="A5" s="60"/>
      <c r="B5" s="57"/>
      <c r="C5" s="53" t="s">
        <v>112</v>
      </c>
      <c r="D5" s="53"/>
      <c r="E5" s="53"/>
      <c r="F5" s="53"/>
      <c r="G5" s="53"/>
      <c r="H5" s="54"/>
      <c r="I5" s="53" t="s">
        <v>112</v>
      </c>
      <c r="J5" s="53"/>
      <c r="K5" s="53"/>
      <c r="L5" s="53"/>
      <c r="M5" s="53"/>
      <c r="N5" s="53"/>
    </row>
    <row r="6" spans="1:14" ht="76.5" customHeight="1" thickBot="1" x14ac:dyDescent="0.3">
      <c r="A6" s="50"/>
      <c r="B6" s="58"/>
      <c r="C6" s="43" t="s">
        <v>95</v>
      </c>
      <c r="D6" s="43" t="s">
        <v>96</v>
      </c>
      <c r="E6" s="43" t="s">
        <v>98</v>
      </c>
      <c r="F6" s="43" t="s">
        <v>97</v>
      </c>
      <c r="G6" s="43" t="s">
        <v>99</v>
      </c>
      <c r="H6" s="44" t="s">
        <v>100</v>
      </c>
      <c r="I6" s="43" t="s">
        <v>95</v>
      </c>
      <c r="J6" s="43" t="s">
        <v>96</v>
      </c>
      <c r="K6" s="43" t="s">
        <v>98</v>
      </c>
      <c r="L6" s="43" t="s">
        <v>97</v>
      </c>
      <c r="M6" s="43" t="s">
        <v>99</v>
      </c>
      <c r="N6" s="43" t="s">
        <v>100</v>
      </c>
    </row>
    <row r="7" spans="1:14" s="10" customFormat="1" x14ac:dyDescent="0.25">
      <c r="A7" s="9" t="s">
        <v>0</v>
      </c>
      <c r="B7" s="20">
        <v>100</v>
      </c>
      <c r="C7" s="63">
        <v>25.9</v>
      </c>
      <c r="D7" s="63">
        <v>11.8</v>
      </c>
      <c r="E7" s="63">
        <v>0.31374342063773969</v>
      </c>
      <c r="F7" s="63">
        <v>52.5</v>
      </c>
      <c r="G7" s="63">
        <v>3.9</v>
      </c>
      <c r="H7" s="63">
        <v>4.5692057859628479</v>
      </c>
      <c r="I7" s="35">
        <f>0.25274359519605*100</f>
        <v>25.274359519604999</v>
      </c>
      <c r="J7" s="35">
        <f>0.114995238579525*100</f>
        <v>11.4995238579525</v>
      </c>
      <c r="K7" s="35">
        <v>0.31850667061140336</v>
      </c>
      <c r="L7" s="35">
        <v>54.098288662271976</v>
      </c>
      <c r="M7" s="35">
        <v>3.8481985188746402</v>
      </c>
      <c r="N7" s="35">
        <v>3.9935836392045192</v>
      </c>
    </row>
    <row r="8" spans="1:14" s="10" customFormat="1" ht="19.5" x14ac:dyDescent="0.25">
      <c r="A8" s="11" t="s">
        <v>89</v>
      </c>
      <c r="B8" s="20">
        <v>100</v>
      </c>
      <c r="C8" s="64">
        <v>24.580464457413179</v>
      </c>
      <c r="D8" s="64">
        <v>7.838201445375824</v>
      </c>
      <c r="E8" s="64">
        <v>0.34642304229493176</v>
      </c>
      <c r="F8" s="64">
        <v>54.552688645976481</v>
      </c>
      <c r="G8" s="64">
        <v>4.3931188503969478</v>
      </c>
      <c r="H8" s="64">
        <v>6.7654554171926273</v>
      </c>
      <c r="I8" s="35">
        <v>23.55287783999821</v>
      </c>
      <c r="J8" s="35">
        <v>7.4609838119169938</v>
      </c>
      <c r="K8" s="35">
        <v>0.35791247548672367</v>
      </c>
      <c r="L8" s="35">
        <v>57.15638538225798</v>
      </c>
      <c r="M8" s="35">
        <v>4.3516191811260825</v>
      </c>
      <c r="N8" s="35">
        <v>5.5461520680630221</v>
      </c>
    </row>
    <row r="9" spans="1:14" x14ac:dyDescent="0.25">
      <c r="A9" s="12" t="s">
        <v>2</v>
      </c>
      <c r="B9" s="21">
        <v>100</v>
      </c>
      <c r="C9" s="64">
        <v>19.650837438132882</v>
      </c>
      <c r="D9" s="64">
        <v>15.711139120582597</v>
      </c>
      <c r="E9" s="64">
        <v>0.36444357237639979</v>
      </c>
      <c r="F9" s="64">
        <v>59.902433553764155</v>
      </c>
      <c r="G9" s="64">
        <v>2.6501848410283828</v>
      </c>
      <c r="H9" s="64">
        <v>1.3594409499876428</v>
      </c>
      <c r="I9" s="35">
        <v>19.432933478735002</v>
      </c>
      <c r="J9" s="35">
        <v>15.485278080697928</v>
      </c>
      <c r="K9" s="35">
        <v>0.4</v>
      </c>
      <c r="L9" s="35">
        <v>60.632497273718641</v>
      </c>
      <c r="M9" s="35">
        <v>2.5954198473282442</v>
      </c>
      <c r="N9" s="35">
        <v>1.1341330425299891</v>
      </c>
    </row>
    <row r="10" spans="1:14" x14ac:dyDescent="0.25">
      <c r="A10" s="12" t="s">
        <v>1</v>
      </c>
      <c r="B10" s="21">
        <v>100</v>
      </c>
      <c r="C10" s="64">
        <v>29.407465941829667</v>
      </c>
      <c r="D10" s="64">
        <v>15.605975409367744</v>
      </c>
      <c r="E10" s="64">
        <v>0.33976214048379288</v>
      </c>
      <c r="F10" s="64">
        <v>47.265530698777852</v>
      </c>
      <c r="G10" s="64">
        <v>4.1898099942819664</v>
      </c>
      <c r="H10" s="64">
        <v>2.0340249194981133</v>
      </c>
      <c r="I10" s="35">
        <v>28.879610299234521</v>
      </c>
      <c r="J10" s="35">
        <v>15.274878218510787</v>
      </c>
      <c r="K10" s="35">
        <v>0.34794711203897011</v>
      </c>
      <c r="L10" s="35">
        <v>48.921363952679194</v>
      </c>
      <c r="M10" s="35">
        <v>3.514265831593598</v>
      </c>
      <c r="N10" s="35">
        <v>1.6353514265831597</v>
      </c>
    </row>
    <row r="11" spans="1:14" x14ac:dyDescent="0.25">
      <c r="A11" s="12" t="s">
        <v>3</v>
      </c>
      <c r="B11" s="21">
        <v>100</v>
      </c>
      <c r="C11" s="64">
        <v>22.472027552724064</v>
      </c>
      <c r="D11" s="64">
        <v>13.033405901508139</v>
      </c>
      <c r="E11" s="64">
        <v>0.29138568746112825</v>
      </c>
      <c r="F11" s="64">
        <v>50.916204868809388</v>
      </c>
      <c r="G11" s="64">
        <v>7.2924951698239715</v>
      </c>
      <c r="H11" s="64">
        <v>5.1347187965193646</v>
      </c>
      <c r="I11" s="35">
        <v>22.028766086298258</v>
      </c>
      <c r="J11" s="35">
        <v>12.641937925813778</v>
      </c>
      <c r="K11" s="35">
        <v>0.27756749936916475</v>
      </c>
      <c r="L11" s="35">
        <v>52.106989654302296</v>
      </c>
      <c r="M11" s="35">
        <v>7.5195558920010095</v>
      </c>
      <c r="N11" s="35">
        <v>4.5672470350744385</v>
      </c>
    </row>
    <row r="12" spans="1:14" x14ac:dyDescent="0.25">
      <c r="A12" s="12" t="s">
        <v>4</v>
      </c>
      <c r="B12" s="21">
        <v>100</v>
      </c>
      <c r="C12" s="64">
        <v>23.317228234300785</v>
      </c>
      <c r="D12" s="64">
        <v>11.403670336689478</v>
      </c>
      <c r="E12" s="64">
        <v>0.29907115544119922</v>
      </c>
      <c r="F12" s="64">
        <v>54.42264192991253</v>
      </c>
      <c r="G12" s="64">
        <v>4.4004114945396937</v>
      </c>
      <c r="H12" s="64">
        <v>3.6688128100039314</v>
      </c>
      <c r="I12" s="35">
        <v>22.66438675579046</v>
      </c>
      <c r="J12" s="35">
        <v>11.083475827763097</v>
      </c>
      <c r="K12" s="35">
        <v>0.29535209078190583</v>
      </c>
      <c r="L12" s="35">
        <v>56.707601430125919</v>
      </c>
      <c r="M12" s="35">
        <v>4.3059225866625219</v>
      </c>
      <c r="N12" s="35">
        <v>2.4871755013213122</v>
      </c>
    </row>
    <row r="13" spans="1:14" x14ac:dyDescent="0.25">
      <c r="A13" s="12" t="s">
        <v>5</v>
      </c>
      <c r="B13" s="21">
        <v>100</v>
      </c>
      <c r="C13" s="64">
        <v>27.527073085175825</v>
      </c>
      <c r="D13" s="64">
        <v>14.387418710390214</v>
      </c>
      <c r="E13" s="64">
        <v>0.40543896141240321</v>
      </c>
      <c r="F13" s="64">
        <v>51.975903847015928</v>
      </c>
      <c r="G13" s="64">
        <v>3.2278443392197298</v>
      </c>
      <c r="H13" s="64">
        <v>2.4599636917909842</v>
      </c>
      <c r="I13" s="35">
        <v>26.79296346414073</v>
      </c>
      <c r="J13" s="35">
        <v>13.892647722147048</v>
      </c>
      <c r="K13" s="35">
        <v>0.40595399188092024</v>
      </c>
      <c r="L13" s="35">
        <v>53.721244925575107</v>
      </c>
      <c r="M13" s="35">
        <v>3.0221019395579618</v>
      </c>
      <c r="N13" s="35">
        <v>2.2101939557961212</v>
      </c>
    </row>
    <row r="14" spans="1:14" x14ac:dyDescent="0.25">
      <c r="A14" s="12" t="s">
        <v>6</v>
      </c>
      <c r="B14" s="21">
        <v>100</v>
      </c>
      <c r="C14" s="64">
        <v>22.400755750468186</v>
      </c>
      <c r="D14" s="64">
        <v>12.313624224159431</v>
      </c>
      <c r="E14" s="64">
        <v>0.27065978274286562</v>
      </c>
      <c r="F14" s="64">
        <v>53.016388048628087</v>
      </c>
      <c r="G14" s="64">
        <v>4.2183002660544808</v>
      </c>
      <c r="H14" s="64">
        <v>4.7217471571768961</v>
      </c>
      <c r="I14" s="35">
        <v>21.839454013649661</v>
      </c>
      <c r="J14" s="35">
        <v>12.024699382515438</v>
      </c>
      <c r="K14" s="35">
        <v>0.29249268768280795</v>
      </c>
      <c r="L14" s="35">
        <v>54.143646408839771</v>
      </c>
      <c r="M14" s="35">
        <v>4.1273968150796234</v>
      </c>
      <c r="N14" s="35">
        <v>4.4198895027624303</v>
      </c>
    </row>
    <row r="15" spans="1:14" x14ac:dyDescent="0.25">
      <c r="A15" s="12" t="s">
        <v>7</v>
      </c>
      <c r="B15" s="21">
        <v>100</v>
      </c>
      <c r="C15" s="64">
        <v>29.048414240939177</v>
      </c>
      <c r="D15" s="64">
        <v>16.631623718470085</v>
      </c>
      <c r="E15" s="64">
        <v>0.62606368389906164</v>
      </c>
      <c r="F15" s="64">
        <v>45.385580045008673</v>
      </c>
      <c r="G15" s="64">
        <v>2.387124367417226</v>
      </c>
      <c r="H15" s="64">
        <v>5.1154450604489377</v>
      </c>
      <c r="I15" s="35">
        <v>28.08383233532934</v>
      </c>
      <c r="J15" s="35">
        <v>16.526946107784433</v>
      </c>
      <c r="K15" s="35">
        <v>0.5988023952095809</v>
      </c>
      <c r="L15" s="35">
        <v>46.167664670658681</v>
      </c>
      <c r="M15" s="35">
        <v>2.7</v>
      </c>
      <c r="N15" s="35">
        <v>4.9101796407185621</v>
      </c>
    </row>
    <row r="16" spans="1:14" x14ac:dyDescent="0.25">
      <c r="A16" s="12" t="s">
        <v>8</v>
      </c>
      <c r="B16" s="21">
        <v>100</v>
      </c>
      <c r="C16" s="64">
        <v>25.805184112145199</v>
      </c>
      <c r="D16" s="64">
        <v>15.122047164140632</v>
      </c>
      <c r="E16" s="64">
        <v>0.23840641089214593</v>
      </c>
      <c r="F16" s="64">
        <v>50.34062741710504</v>
      </c>
      <c r="G16" s="64">
        <v>2.6254224162151538</v>
      </c>
      <c r="H16" s="64">
        <v>1.0492856362735938</v>
      </c>
      <c r="I16" s="35">
        <v>25.273311897106112</v>
      </c>
      <c r="J16" s="35">
        <v>14.69453376205788</v>
      </c>
      <c r="K16" s="35">
        <v>0.2</v>
      </c>
      <c r="L16" s="35">
        <v>51.318327974276521</v>
      </c>
      <c r="M16" s="35">
        <v>2.572347266881029</v>
      </c>
      <c r="N16" s="35">
        <v>0.77170418006430863</v>
      </c>
    </row>
    <row r="17" spans="1:14" x14ac:dyDescent="0.25">
      <c r="A17" s="12" t="s">
        <v>9</v>
      </c>
      <c r="B17" s="21">
        <v>100</v>
      </c>
      <c r="C17" s="64">
        <v>21.543186116972262</v>
      </c>
      <c r="D17" s="64">
        <v>12.694511345822418</v>
      </c>
      <c r="E17" s="64">
        <v>0.26832243687289364</v>
      </c>
      <c r="F17" s="64">
        <v>50.039477637169675</v>
      </c>
      <c r="G17" s="64">
        <v>1.8591143449597105</v>
      </c>
      <c r="H17" s="64">
        <v>13.053102051566869</v>
      </c>
      <c r="I17" s="35">
        <v>21.335807050092768</v>
      </c>
      <c r="J17" s="35">
        <v>12.646876932591219</v>
      </c>
      <c r="K17" s="35">
        <v>0.2782931354359926</v>
      </c>
      <c r="L17" s="35">
        <v>50.865800865800871</v>
      </c>
      <c r="M17" s="35">
        <v>1.7934446505875077</v>
      </c>
      <c r="N17" s="35">
        <v>12.615955473098332</v>
      </c>
    </row>
    <row r="18" spans="1:14" x14ac:dyDescent="0.25">
      <c r="A18" s="12" t="s">
        <v>10</v>
      </c>
      <c r="B18" s="21">
        <v>100</v>
      </c>
      <c r="C18" s="64">
        <v>17.414594148466652</v>
      </c>
      <c r="D18" s="64">
        <v>11.994065255575428</v>
      </c>
      <c r="E18" s="64">
        <v>0.24845253129060788</v>
      </c>
      <c r="F18" s="64">
        <v>57.930970343236297</v>
      </c>
      <c r="G18" s="64">
        <v>4.0818603826891797</v>
      </c>
      <c r="H18" s="64">
        <v>7.3667312796804421</v>
      </c>
      <c r="I18" s="35">
        <v>16.621061359867301</v>
      </c>
      <c r="J18" s="35">
        <v>11.455223880597016</v>
      </c>
      <c r="K18" s="35">
        <v>0.25290215588723047</v>
      </c>
      <c r="L18" s="35">
        <v>60.626036484245439</v>
      </c>
      <c r="M18" s="35">
        <v>3.9718076285240462</v>
      </c>
      <c r="N18" s="35">
        <v>6.0199004975124373</v>
      </c>
    </row>
    <row r="19" spans="1:14" x14ac:dyDescent="0.25">
      <c r="A19" s="12" t="s">
        <v>11</v>
      </c>
      <c r="B19" s="21">
        <v>100</v>
      </c>
      <c r="C19" s="64">
        <v>30.22964340977023</v>
      </c>
      <c r="D19" s="64">
        <v>15.496355247982727</v>
      </c>
      <c r="E19" s="64">
        <v>0.39897323373480115</v>
      </c>
      <c r="F19" s="64">
        <v>47.523935041221812</v>
      </c>
      <c r="G19" s="64">
        <v>3.2226316508527866</v>
      </c>
      <c r="H19" s="64">
        <v>2.8164102216550386</v>
      </c>
      <c r="I19" s="35">
        <v>29.173008625063417</v>
      </c>
      <c r="J19" s="35">
        <v>15.017757483510911</v>
      </c>
      <c r="K19" s="35">
        <v>0.4058853373921868</v>
      </c>
      <c r="L19" s="35">
        <v>49.264332825976659</v>
      </c>
      <c r="M19" s="35">
        <v>3.1</v>
      </c>
      <c r="N19" s="35">
        <v>2.7904616945712837</v>
      </c>
    </row>
    <row r="20" spans="1:14" x14ac:dyDescent="0.25">
      <c r="A20" s="12" t="s">
        <v>12</v>
      </c>
      <c r="B20" s="21">
        <v>100</v>
      </c>
      <c r="C20" s="64">
        <v>24.902308525238826</v>
      </c>
      <c r="D20" s="64">
        <v>15.285773450100583</v>
      </c>
      <c r="E20" s="64">
        <v>0.21785180424406139</v>
      </c>
      <c r="F20" s="64">
        <v>49.102331797755731</v>
      </c>
      <c r="G20" s="64">
        <v>7.0878352719023372</v>
      </c>
      <c r="H20" s="64">
        <v>2.6609399292835025</v>
      </c>
      <c r="I20" s="35">
        <v>23.963567839196003</v>
      </c>
      <c r="J20" s="35">
        <v>14.5414572864322</v>
      </c>
      <c r="K20" s="35">
        <v>0.21984924623115579</v>
      </c>
      <c r="L20" s="35">
        <v>51.2248743718593</v>
      </c>
      <c r="M20" s="35">
        <v>7.0351758793969852</v>
      </c>
      <c r="N20" s="35">
        <v>2.2999999999999998</v>
      </c>
    </row>
    <row r="21" spans="1:14" x14ac:dyDescent="0.25">
      <c r="A21" s="12" t="s">
        <v>13</v>
      </c>
      <c r="B21" s="21">
        <v>100</v>
      </c>
      <c r="C21" s="64">
        <v>27.616402843981149</v>
      </c>
      <c r="D21" s="64">
        <v>15.232441277078333</v>
      </c>
      <c r="E21" s="64">
        <v>0.37573337202695439</v>
      </c>
      <c r="F21" s="64">
        <v>44.334739254453567</v>
      </c>
      <c r="G21" s="64">
        <v>4.1722198034373932</v>
      </c>
      <c r="H21" s="64">
        <v>5.6933465244350963</v>
      </c>
      <c r="I21" s="35">
        <v>27</v>
      </c>
      <c r="J21" s="35">
        <v>14.496124031007751</v>
      </c>
      <c r="K21" s="35">
        <v>0.4</v>
      </c>
      <c r="L21" s="35">
        <v>47.170542635658919</v>
      </c>
      <c r="M21" s="35">
        <v>4.1085271317829459</v>
      </c>
      <c r="N21" s="35">
        <v>4.3798449612403108</v>
      </c>
    </row>
    <row r="22" spans="1:14" x14ac:dyDescent="0.25">
      <c r="A22" s="12" t="s">
        <v>14</v>
      </c>
      <c r="B22" s="21">
        <v>100</v>
      </c>
      <c r="C22" s="64">
        <v>29.303767907134787</v>
      </c>
      <c r="D22" s="64">
        <v>15.400064532787919</v>
      </c>
      <c r="E22" s="64">
        <v>0.36744528888212652</v>
      </c>
      <c r="F22" s="64">
        <v>48.229733461637458</v>
      </c>
      <c r="G22" s="64">
        <v>4.9711050566864659</v>
      </c>
      <c r="H22" s="64">
        <v>1.2762562171956628</v>
      </c>
      <c r="I22" s="35">
        <v>29.418985270049099</v>
      </c>
      <c r="J22" s="35">
        <v>15.261865793780686</v>
      </c>
      <c r="K22" s="35">
        <v>0.32733224222585927</v>
      </c>
      <c r="L22" s="35">
        <v>48.731587561374788</v>
      </c>
      <c r="M22" s="35">
        <v>4.828150572831424</v>
      </c>
      <c r="N22" s="35">
        <v>1</v>
      </c>
    </row>
    <row r="23" spans="1:14" x14ac:dyDescent="0.25">
      <c r="A23" s="12" t="s">
        <v>15</v>
      </c>
      <c r="B23" s="21">
        <v>100</v>
      </c>
      <c r="C23" s="64">
        <v>27.688541229195636</v>
      </c>
      <c r="D23" s="64">
        <v>13.717854363811453</v>
      </c>
      <c r="E23" s="64">
        <v>0.34539102183797621</v>
      </c>
      <c r="F23" s="64">
        <v>49.15580101752272</v>
      </c>
      <c r="G23" s="64">
        <v>3.5211462063571197</v>
      </c>
      <c r="H23" s="64">
        <v>3.4505163578301707</v>
      </c>
      <c r="I23" s="35">
        <v>27.083934237092588</v>
      </c>
      <c r="J23" s="35">
        <v>13.441015286991636</v>
      </c>
      <c r="K23" s="35">
        <v>0.37496394577444475</v>
      </c>
      <c r="L23" s="35">
        <v>50.706662820882606</v>
      </c>
      <c r="M23" s="35">
        <v>3.2881453706374386</v>
      </c>
      <c r="N23" s="35">
        <v>2.999711566195558</v>
      </c>
    </row>
    <row r="24" spans="1:14" x14ac:dyDescent="0.25">
      <c r="A24" s="12" t="s">
        <v>16</v>
      </c>
      <c r="B24" s="21">
        <v>100</v>
      </c>
      <c r="C24" s="64">
        <v>20.907973144763556</v>
      </c>
      <c r="D24" s="64">
        <v>12.529375275390457</v>
      </c>
      <c r="E24" s="64">
        <v>0.23772575800977905</v>
      </c>
      <c r="F24" s="64">
        <v>48.07426489060235</v>
      </c>
      <c r="G24" s="64">
        <v>6.9735062855588419</v>
      </c>
      <c r="H24" s="64">
        <v>6.4935647746624285</v>
      </c>
      <c r="I24" s="35">
        <v>20.7</v>
      </c>
      <c r="J24" s="35">
        <v>12.087155963302752</v>
      </c>
      <c r="K24" s="35">
        <v>0.22935779816513763</v>
      </c>
      <c r="L24" s="35">
        <v>48.279816513761467</v>
      </c>
      <c r="M24" s="35">
        <v>7.1559633027522942</v>
      </c>
      <c r="N24" s="35">
        <v>6.0091743119266052</v>
      </c>
    </row>
    <row r="25" spans="1:14" x14ac:dyDescent="0.25">
      <c r="A25" s="12" t="s">
        <v>17</v>
      </c>
      <c r="B25" s="21">
        <v>100</v>
      </c>
      <c r="C25" s="64">
        <v>23.626125812101957</v>
      </c>
      <c r="D25" s="64">
        <v>14.434167945919974</v>
      </c>
      <c r="E25" s="64">
        <v>0.29989279807672575</v>
      </c>
      <c r="F25" s="64">
        <v>48.793984890633304</v>
      </c>
      <c r="G25" s="64">
        <v>7.9266942292947258</v>
      </c>
      <c r="H25" s="64">
        <v>4.5358700852012204</v>
      </c>
      <c r="I25" s="35">
        <v>23.074928701063001</v>
      </c>
      <c r="J25" s="35">
        <v>13.507907700285196</v>
      </c>
      <c r="K25" s="35">
        <v>0.28519574799066633</v>
      </c>
      <c r="L25" s="35">
        <v>50.712989369976668</v>
      </c>
      <c r="M25" s="35">
        <v>8.3225304640912636</v>
      </c>
      <c r="N25" s="35">
        <v>3.6556909515167226</v>
      </c>
    </row>
    <row r="26" spans="1:14" x14ac:dyDescent="0.25">
      <c r="A26" s="12" t="s">
        <v>18</v>
      </c>
      <c r="B26" s="21">
        <v>100</v>
      </c>
      <c r="C26" s="64">
        <v>27.693892308301066</v>
      </c>
      <c r="D26" s="64">
        <v>9.9270047705968686E-2</v>
      </c>
      <c r="E26" s="64">
        <v>0.41607540800399967</v>
      </c>
      <c r="F26" s="64">
        <v>56.865771719516594</v>
      </c>
      <c r="G26" s="64">
        <v>4.3242111853548399</v>
      </c>
      <c r="H26" s="64">
        <v>9.0405418570536114</v>
      </c>
      <c r="I26" s="35">
        <v>26.041392385065038</v>
      </c>
      <c r="J26" s="35">
        <v>7.0216090017027402E-2</v>
      </c>
      <c r="K26" s="35">
        <v>0.4423613671072727</v>
      </c>
      <c r="L26" s="35">
        <v>60.443765688907611</v>
      </c>
      <c r="M26" s="35">
        <v>4.3060017202942058</v>
      </c>
      <c r="N26" s="35">
        <v>7.1515087682342413</v>
      </c>
    </row>
    <row r="27" spans="1:14" s="10" customFormat="1" ht="20.25" customHeight="1" x14ac:dyDescent="0.25">
      <c r="A27" s="13" t="s">
        <v>81</v>
      </c>
      <c r="B27" s="20">
        <v>100</v>
      </c>
      <c r="C27" s="64">
        <v>28.339585565005873</v>
      </c>
      <c r="D27" s="64">
        <v>7.3721203369628849</v>
      </c>
      <c r="E27" s="64">
        <v>0.31801217098820062</v>
      </c>
      <c r="F27" s="64">
        <v>54.711991889962526</v>
      </c>
      <c r="G27" s="64">
        <v>3.3863182425846547</v>
      </c>
      <c r="H27" s="64">
        <v>5.2073257255803913</v>
      </c>
      <c r="I27" s="35">
        <v>27.56540473991998</v>
      </c>
      <c r="J27" s="35">
        <v>7.1283471837488452</v>
      </c>
      <c r="K27" s="35">
        <v>0.31189083820662766</v>
      </c>
      <c r="L27" s="35">
        <v>56.602031394275166</v>
      </c>
      <c r="M27" s="35">
        <v>3.3261516364009438</v>
      </c>
      <c r="N27" s="35">
        <v>4.3582640812557711</v>
      </c>
    </row>
    <row r="28" spans="1:14" x14ac:dyDescent="0.25">
      <c r="A28" s="12" t="s">
        <v>19</v>
      </c>
      <c r="B28" s="21">
        <v>100</v>
      </c>
      <c r="C28" s="64">
        <v>34.738719259990987</v>
      </c>
      <c r="D28" s="64">
        <v>13.429862718126493</v>
      </c>
      <c r="E28" s="64">
        <v>0.26200849368382501</v>
      </c>
      <c r="F28" s="64">
        <v>46.640081764828132</v>
      </c>
      <c r="G28" s="64">
        <v>1.6384960459480147</v>
      </c>
      <c r="H28" s="64">
        <v>3.2388043410635485</v>
      </c>
      <c r="I28" s="35">
        <v>34.584295612009242</v>
      </c>
      <c r="J28" s="35">
        <v>13.279445727482681</v>
      </c>
      <c r="K28" s="35">
        <v>0.23094688221709012</v>
      </c>
      <c r="L28" s="35">
        <v>47.8</v>
      </c>
      <c r="M28" s="35">
        <v>1.5588914549653583</v>
      </c>
      <c r="N28" s="35">
        <v>2.424942263279446</v>
      </c>
    </row>
    <row r="29" spans="1:14" x14ac:dyDescent="0.25">
      <c r="A29" s="12" t="s">
        <v>20</v>
      </c>
      <c r="B29" s="21">
        <v>100</v>
      </c>
      <c r="C29" s="64">
        <v>30.912141889642445</v>
      </c>
      <c r="D29" s="64">
        <v>16.450913913084293</v>
      </c>
      <c r="E29" s="64">
        <v>0.23070356507354828</v>
      </c>
      <c r="F29" s="64">
        <v>45.003927742792101</v>
      </c>
      <c r="G29" s="64">
        <v>2.2301005603107598</v>
      </c>
      <c r="H29" s="64">
        <v>5.1722123290968556</v>
      </c>
      <c r="I29" s="35">
        <v>31.184870706291001</v>
      </c>
      <c r="J29" s="35">
        <v>16.364338093400228</v>
      </c>
      <c r="K29" s="35">
        <v>0.27016595908915475</v>
      </c>
      <c r="L29" s="35">
        <v>44.963334619837894</v>
      </c>
      <c r="M29" s="35">
        <v>2.3157082207641837</v>
      </c>
      <c r="N29" s="35">
        <v>4.9015824006175208</v>
      </c>
    </row>
    <row r="30" spans="1:14" x14ac:dyDescent="0.25">
      <c r="A30" s="12" t="s">
        <v>83</v>
      </c>
      <c r="B30" s="21">
        <v>100</v>
      </c>
      <c r="C30" s="64">
        <v>32.677568729931963</v>
      </c>
      <c r="D30" s="64">
        <v>14.386090305118604</v>
      </c>
      <c r="E30" s="64">
        <v>0.17962117105546874</v>
      </c>
      <c r="F30" s="64">
        <v>44.259496137516273</v>
      </c>
      <c r="G30" s="64">
        <v>2.8428807997748113</v>
      </c>
      <c r="H30" s="64">
        <v>5.5495344888856053</v>
      </c>
      <c r="I30" s="35">
        <v>32.511600928074245</v>
      </c>
      <c r="J30" s="35">
        <v>14.327146171693736</v>
      </c>
      <c r="K30" s="35">
        <v>0.20301624129930393</v>
      </c>
      <c r="L30" s="35">
        <v>46.171693735498835</v>
      </c>
      <c r="M30" s="35">
        <v>3.3</v>
      </c>
      <c r="N30" s="35">
        <v>3.4222737819025526</v>
      </c>
    </row>
    <row r="31" spans="1:14" ht="12.75" customHeight="1" x14ac:dyDescent="0.25">
      <c r="A31" s="14" t="s">
        <v>45</v>
      </c>
      <c r="B31" s="21"/>
      <c r="C31" s="22"/>
      <c r="D31" s="22"/>
      <c r="E31" s="22"/>
      <c r="F31" s="22"/>
      <c r="G31" s="22"/>
      <c r="H31" s="22"/>
      <c r="I31" s="35"/>
      <c r="J31" s="35"/>
      <c r="K31" s="35"/>
      <c r="L31" s="35"/>
      <c r="M31" s="35"/>
      <c r="N31" s="35"/>
    </row>
    <row r="32" spans="1:14" ht="20.25" x14ac:dyDescent="0.25">
      <c r="A32" s="15" t="s">
        <v>90</v>
      </c>
      <c r="B32" s="21">
        <v>100</v>
      </c>
      <c r="C32" s="64">
        <v>33.313660750990316</v>
      </c>
      <c r="D32" s="64">
        <v>7.6403450084969435</v>
      </c>
      <c r="E32" s="64">
        <v>0.1222760803945077</v>
      </c>
      <c r="F32" s="64">
        <v>51.82637847969022</v>
      </c>
      <c r="G32" s="64">
        <v>1.9996993038779636</v>
      </c>
      <c r="H32" s="64">
        <v>5.0976403765500482</v>
      </c>
      <c r="I32" s="35">
        <v>33.450704225352112</v>
      </c>
      <c r="J32" s="35">
        <v>7.7464788732394378</v>
      </c>
      <c r="K32" s="35">
        <v>0</v>
      </c>
      <c r="L32" s="35">
        <v>53.4</v>
      </c>
      <c r="M32" s="35">
        <v>1.4084507042253522</v>
      </c>
      <c r="N32" s="35">
        <v>4</v>
      </c>
    </row>
    <row r="33" spans="1:14" ht="20.25" x14ac:dyDescent="0.25">
      <c r="A33" s="15" t="s">
        <v>104</v>
      </c>
      <c r="B33" s="21">
        <v>100</v>
      </c>
      <c r="C33" s="64">
        <v>32.620970685487741</v>
      </c>
      <c r="D33" s="64">
        <v>14.986311624468547</v>
      </c>
      <c r="E33" s="64">
        <v>0.18472360888276143</v>
      </c>
      <c r="F33" s="64">
        <v>43.586211881577938</v>
      </c>
      <c r="G33" s="64">
        <v>2.917905202218841</v>
      </c>
      <c r="H33" s="64">
        <v>5.5897430156511145</v>
      </c>
      <c r="I33" s="35">
        <v>32.427307206068271</v>
      </c>
      <c r="J33" s="35">
        <v>14.949431099873578</v>
      </c>
      <c r="K33" s="35">
        <v>0.18963337547408346</v>
      </c>
      <c r="L33" s="35">
        <v>45.512010113780029</v>
      </c>
      <c r="M33" s="35">
        <v>3.4134007585335024</v>
      </c>
      <c r="N33" s="35">
        <v>3.3817951959544881</v>
      </c>
    </row>
    <row r="34" spans="1:14" x14ac:dyDescent="0.25">
      <c r="A34" s="12" t="s">
        <v>21</v>
      </c>
      <c r="B34" s="21">
        <v>100</v>
      </c>
      <c r="C34" s="64">
        <v>24.94641396708646</v>
      </c>
      <c r="D34" s="64">
        <v>15.153788823555818</v>
      </c>
      <c r="E34" s="64">
        <v>0.33274774896643577</v>
      </c>
      <c r="F34" s="64">
        <v>47.262060314837122</v>
      </c>
      <c r="G34" s="64">
        <v>3.0748000773255515</v>
      </c>
      <c r="H34" s="64">
        <v>9.2208301977136973</v>
      </c>
      <c r="I34" s="35">
        <v>24.517490952955363</v>
      </c>
      <c r="J34" s="35">
        <v>14.927623642943304</v>
      </c>
      <c r="K34" s="35">
        <v>0.33172496984318456</v>
      </c>
      <c r="L34" s="35">
        <v>48.401688781664653</v>
      </c>
      <c r="M34" s="35">
        <v>3.1363088057901085</v>
      </c>
      <c r="N34" s="35">
        <v>8.6550060313630865</v>
      </c>
    </row>
    <row r="35" spans="1:14" x14ac:dyDescent="0.25">
      <c r="A35" s="12" t="s">
        <v>69</v>
      </c>
      <c r="B35" s="21">
        <v>100</v>
      </c>
      <c r="C35" s="64">
        <v>27.921485395139193</v>
      </c>
      <c r="D35" s="64">
        <v>12.382997618415622</v>
      </c>
      <c r="E35" s="64">
        <v>0.31290473521781653</v>
      </c>
      <c r="F35" s="64">
        <v>54.02272508252598</v>
      </c>
      <c r="G35" s="64">
        <v>1.2219939059235747</v>
      </c>
      <c r="H35" s="64">
        <v>3.7186183801567756</v>
      </c>
      <c r="I35" s="35">
        <v>27.838427947598255</v>
      </c>
      <c r="J35" s="35">
        <v>12.1</v>
      </c>
      <c r="K35" s="35">
        <v>0.29112081513828242</v>
      </c>
      <c r="L35" s="35">
        <v>54.29403202328966</v>
      </c>
      <c r="M35" s="35">
        <v>1.2736535662299855</v>
      </c>
      <c r="N35" s="35">
        <v>3.7117903930131</v>
      </c>
    </row>
    <row r="36" spans="1:14" x14ac:dyDescent="0.25">
      <c r="A36" s="12" t="s">
        <v>70</v>
      </c>
      <c r="B36" s="21">
        <v>100</v>
      </c>
      <c r="C36" s="64">
        <v>18.704043806948626</v>
      </c>
      <c r="D36" s="64">
        <v>12.177129882669941</v>
      </c>
      <c r="E36" s="64">
        <v>0.20193067991531252</v>
      </c>
      <c r="F36" s="64">
        <v>56.668896345071126</v>
      </c>
      <c r="G36" s="64">
        <v>2.7808030354849351</v>
      </c>
      <c r="H36" s="64">
        <v>7.5782104394650815</v>
      </c>
      <c r="I36" s="35">
        <v>17.850570482149429</v>
      </c>
      <c r="J36" s="35">
        <v>11.832903938167096</v>
      </c>
      <c r="K36" s="35">
        <v>0.2024291497975709</v>
      </c>
      <c r="L36" s="35">
        <v>59.587780640412227</v>
      </c>
      <c r="M36" s="35">
        <v>2.7</v>
      </c>
      <c r="N36" s="35">
        <v>5.9808612440191391</v>
      </c>
    </row>
    <row r="37" spans="1:14" x14ac:dyDescent="0.25">
      <c r="A37" s="12" t="s">
        <v>22</v>
      </c>
      <c r="B37" s="21">
        <v>100</v>
      </c>
      <c r="C37" s="64">
        <v>35.201559272608662</v>
      </c>
      <c r="D37" s="64">
        <v>15.005568130650829</v>
      </c>
      <c r="E37" s="64">
        <v>0.22836686659401928</v>
      </c>
      <c r="F37" s="64">
        <v>42.411626876242437</v>
      </c>
      <c r="G37" s="64">
        <v>2.5016578935039391</v>
      </c>
      <c r="H37" s="64">
        <v>3.0913406698183796</v>
      </c>
      <c r="I37" s="35">
        <v>34.988085782367001</v>
      </c>
      <c r="J37" s="35">
        <v>14.813343923749006</v>
      </c>
      <c r="K37" s="35">
        <v>0.19857029388403494</v>
      </c>
      <c r="L37" s="35">
        <v>43.566322478157268</v>
      </c>
      <c r="M37" s="35">
        <v>2.4622716441620334</v>
      </c>
      <c r="N37" s="35">
        <v>2.3828435266084194</v>
      </c>
    </row>
    <row r="38" spans="1:14" x14ac:dyDescent="0.25">
      <c r="A38" s="12" t="s">
        <v>71</v>
      </c>
      <c r="B38" s="21">
        <v>100</v>
      </c>
      <c r="C38" s="64">
        <v>28.545328145665376</v>
      </c>
      <c r="D38" s="64">
        <v>13.564746274923611</v>
      </c>
      <c r="E38" s="64">
        <v>0.2119659576946849</v>
      </c>
      <c r="F38" s="64">
        <v>48.205567603321526</v>
      </c>
      <c r="G38" s="64">
        <v>1.9748509647563626</v>
      </c>
      <c r="H38" s="64">
        <v>6.1556566641493342</v>
      </c>
      <c r="I38" s="35">
        <v>27.794935145151328</v>
      </c>
      <c r="J38" s="35">
        <v>13.156269302038295</v>
      </c>
      <c r="K38" s="35">
        <v>0.24706609017912293</v>
      </c>
      <c r="L38" s="35">
        <v>49.536751080914144</v>
      </c>
      <c r="M38" s="35">
        <v>2.1000617665225447</v>
      </c>
      <c r="N38" s="35">
        <v>5.8060531192093885</v>
      </c>
    </row>
    <row r="39" spans="1:14" x14ac:dyDescent="0.25">
      <c r="A39" s="12" t="s">
        <v>23</v>
      </c>
      <c r="B39" s="21">
        <v>100</v>
      </c>
      <c r="C39" s="64">
        <v>29.928166222738461</v>
      </c>
      <c r="D39" s="64">
        <v>14.736108328573058</v>
      </c>
      <c r="E39" s="64">
        <v>0.78371434009473195</v>
      </c>
      <c r="F39" s="64">
        <v>49.682836347869845</v>
      </c>
      <c r="G39" s="64">
        <v>1.8085610111575769</v>
      </c>
      <c r="H39" s="64">
        <v>3.0447746358702177</v>
      </c>
      <c r="I39" s="35">
        <v>30.135301353013531</v>
      </c>
      <c r="J39" s="35">
        <v>14.821648216482167</v>
      </c>
      <c r="K39" s="35">
        <v>0.79950799507995085</v>
      </c>
      <c r="L39" s="35">
        <v>49.7</v>
      </c>
      <c r="M39" s="35">
        <v>1.9</v>
      </c>
      <c r="N39" s="35">
        <v>2.7060270602706034</v>
      </c>
    </row>
    <row r="40" spans="1:14" x14ac:dyDescent="0.25">
      <c r="A40" s="12" t="s">
        <v>24</v>
      </c>
      <c r="B40" s="21">
        <v>100</v>
      </c>
      <c r="C40" s="64">
        <v>28.76572385939108</v>
      </c>
      <c r="D40" s="64">
        <v>0.11711975688875086</v>
      </c>
      <c r="E40" s="64">
        <v>0.36214888833195902</v>
      </c>
      <c r="F40" s="64">
        <v>60.953154719690666</v>
      </c>
      <c r="G40" s="64">
        <v>4.4973172812820899</v>
      </c>
      <c r="H40" s="64">
        <v>4.6890049836092746</v>
      </c>
      <c r="I40" s="35">
        <v>27.574568620005905</v>
      </c>
      <c r="J40" s="35">
        <v>0.10969075644433193</v>
      </c>
      <c r="K40" s="35">
        <v>0.3</v>
      </c>
      <c r="L40" s="35">
        <v>63.105935957473733</v>
      </c>
      <c r="M40" s="35">
        <v>4.2737206260810865</v>
      </c>
      <c r="N40" s="35">
        <v>3.9066784795173599</v>
      </c>
    </row>
    <row r="41" spans="1:14" s="10" customFormat="1" ht="19.5" x14ac:dyDescent="0.25">
      <c r="A41" s="13" t="s">
        <v>72</v>
      </c>
      <c r="B41" s="20">
        <v>100</v>
      </c>
      <c r="C41" s="64">
        <v>28.698974075303049</v>
      </c>
      <c r="D41" s="64">
        <v>14.787869840138658</v>
      </c>
      <c r="E41" s="64">
        <v>0.32320248479886882</v>
      </c>
      <c r="F41" s="64">
        <v>49.837983337799038</v>
      </c>
      <c r="G41" s="64">
        <v>3.5170121851272902</v>
      </c>
      <c r="H41" s="64">
        <v>2.5556511277943441</v>
      </c>
      <c r="I41" s="35">
        <v>28.12892535478526</v>
      </c>
      <c r="J41" s="35">
        <v>14.49073950343427</v>
      </c>
      <c r="K41" s="35">
        <v>0.32605500173717827</v>
      </c>
      <c r="L41" s="35">
        <v>51.000881952053881</v>
      </c>
      <c r="M41" s="35">
        <v>3.5064275596653927</v>
      </c>
      <c r="N41" s="35">
        <v>2.2850575941417004</v>
      </c>
    </row>
    <row r="42" spans="1:14" x14ac:dyDescent="0.25">
      <c r="A42" s="12" t="s">
        <v>25</v>
      </c>
      <c r="B42" s="21">
        <v>100</v>
      </c>
      <c r="C42" s="64">
        <v>31.70287229797734</v>
      </c>
      <c r="D42" s="64">
        <v>18.28153333037768</v>
      </c>
      <c r="E42" s="64">
        <v>0.42593368267372672</v>
      </c>
      <c r="F42" s="64">
        <v>45.375044638061695</v>
      </c>
      <c r="G42" s="64">
        <v>1.4863840401862767</v>
      </c>
      <c r="H42" s="64">
        <v>2.6682587483432361</v>
      </c>
      <c r="I42" s="35">
        <v>31.5</v>
      </c>
      <c r="J42" s="35">
        <v>17.912087912087912</v>
      </c>
      <c r="K42" s="35">
        <v>0.5</v>
      </c>
      <c r="L42" s="35">
        <v>46.373626373626372</v>
      </c>
      <c r="M42" s="35">
        <v>1.5384615384615383</v>
      </c>
      <c r="N42" s="35">
        <v>2.197802197802198</v>
      </c>
    </row>
    <row r="43" spans="1:14" x14ac:dyDescent="0.25">
      <c r="A43" s="12" t="s">
        <v>26</v>
      </c>
      <c r="B43" s="21">
        <v>100</v>
      </c>
      <c r="C43" s="64">
        <v>46.456863586122374</v>
      </c>
      <c r="D43" s="64">
        <v>26.229951466561701</v>
      </c>
      <c r="E43" s="64">
        <v>0.35378621238778174</v>
      </c>
      <c r="F43" s="64">
        <v>21.342708608139795</v>
      </c>
      <c r="G43" s="64">
        <v>5.0047528431812998</v>
      </c>
      <c r="H43" s="64">
        <v>0.6119572242119623</v>
      </c>
      <c r="I43" s="35">
        <v>44.015444015444025</v>
      </c>
      <c r="J43" s="35">
        <v>25.096525096525095</v>
      </c>
      <c r="K43" s="35">
        <v>0.3</v>
      </c>
      <c r="L43" s="35">
        <v>25.289575289575289</v>
      </c>
      <c r="M43" s="35">
        <v>4.6332046332046328</v>
      </c>
      <c r="N43" s="35">
        <v>0.5791505791505791</v>
      </c>
    </row>
    <row r="44" spans="1:14" x14ac:dyDescent="0.25">
      <c r="A44" s="12" t="s">
        <v>107</v>
      </c>
      <c r="B44" s="21">
        <v>100</v>
      </c>
      <c r="C44" s="64">
        <v>39.951415660836773</v>
      </c>
      <c r="D44" s="64">
        <v>16.87329880341774</v>
      </c>
      <c r="E44" s="64">
        <v>0.33952671518678529</v>
      </c>
      <c r="F44" s="64">
        <v>39.833274522116255</v>
      </c>
      <c r="G44" s="64">
        <v>0.70687822501472997</v>
      </c>
      <c r="H44" s="64">
        <v>2.177457524642048</v>
      </c>
      <c r="I44" s="35">
        <v>38.5</v>
      </c>
      <c r="J44" s="35">
        <v>16.30194246373248</v>
      </c>
      <c r="K44" s="35">
        <v>0.4</v>
      </c>
      <c r="L44" s="35">
        <v>42.021145807720686</v>
      </c>
      <c r="M44" s="35">
        <v>0.71305630686009347</v>
      </c>
      <c r="N44" s="35">
        <v>2.0408163265306123</v>
      </c>
    </row>
    <row r="45" spans="1:14" x14ac:dyDescent="0.25">
      <c r="A45" s="12" t="s">
        <v>27</v>
      </c>
      <c r="B45" s="21">
        <v>100</v>
      </c>
      <c r="C45" s="64">
        <v>24.921196004171286</v>
      </c>
      <c r="D45" s="64">
        <v>14.641419925840363</v>
      </c>
      <c r="E45" s="64">
        <v>0.33720483413772973</v>
      </c>
      <c r="F45" s="64">
        <v>53.19723256856215</v>
      </c>
      <c r="G45" s="64">
        <v>3.700923231787252</v>
      </c>
      <c r="H45" s="64">
        <v>3.0640446589287094</v>
      </c>
      <c r="I45" s="35">
        <v>24.732309996256085</v>
      </c>
      <c r="J45" s="35">
        <v>14.376637963309621</v>
      </c>
      <c r="K45" s="35">
        <v>0.3</v>
      </c>
      <c r="L45" s="35">
        <v>53.85997753650318</v>
      </c>
      <c r="M45" s="35">
        <v>3.7139648071883191</v>
      </c>
      <c r="N45" s="35">
        <v>2.8378884312991386</v>
      </c>
    </row>
    <row r="46" spans="1:14" x14ac:dyDescent="0.25">
      <c r="A46" s="12" t="s">
        <v>28</v>
      </c>
      <c r="B46" s="21">
        <v>100</v>
      </c>
      <c r="C46" s="64">
        <v>37.693398954176828</v>
      </c>
      <c r="D46" s="64">
        <v>16.81050164521379</v>
      </c>
      <c r="E46" s="64">
        <v>0.22278069407253764</v>
      </c>
      <c r="F46" s="64">
        <v>39.139752807620567</v>
      </c>
      <c r="G46" s="64">
        <v>4.2665821498695546</v>
      </c>
      <c r="H46" s="64">
        <v>1.7141315598282423</v>
      </c>
      <c r="I46" s="35">
        <v>37.297297297297298</v>
      </c>
      <c r="J46" s="35">
        <v>16.560196560196559</v>
      </c>
      <c r="K46" s="35">
        <v>0.19656019656019655</v>
      </c>
      <c r="L46" s="35">
        <v>39.656019656019659</v>
      </c>
      <c r="M46" s="35">
        <v>4.4717444717444721</v>
      </c>
      <c r="N46" s="35">
        <v>1.5724815724815724</v>
      </c>
    </row>
    <row r="47" spans="1:14" x14ac:dyDescent="0.25">
      <c r="A47" s="12" t="s">
        <v>73</v>
      </c>
      <c r="B47" s="21">
        <v>100</v>
      </c>
      <c r="C47" s="64">
        <v>28.820537149177483</v>
      </c>
      <c r="D47" s="64">
        <v>13.752154183706072</v>
      </c>
      <c r="E47" s="64">
        <v>0.35898746439239648</v>
      </c>
      <c r="F47" s="64">
        <v>48.737575491634679</v>
      </c>
      <c r="G47" s="64">
        <v>5.5607998872999955</v>
      </c>
      <c r="H47" s="64">
        <v>2.7347251824221708</v>
      </c>
      <c r="I47" s="35">
        <v>28.413845568657287</v>
      </c>
      <c r="J47" s="35">
        <v>13.389121338912135</v>
      </c>
      <c r="K47" s="35">
        <v>0.36135412704450365</v>
      </c>
      <c r="L47" s="35">
        <v>50.0570559147965</v>
      </c>
      <c r="M47" s="35">
        <v>5.515405096995055</v>
      </c>
      <c r="N47" s="35">
        <v>2.2251806770635225</v>
      </c>
    </row>
    <row r="48" spans="1:14" x14ac:dyDescent="0.25">
      <c r="A48" s="12" t="s">
        <v>29</v>
      </c>
      <c r="B48" s="21">
        <v>100</v>
      </c>
      <c r="C48" s="64">
        <v>23.839182503560085</v>
      </c>
      <c r="D48" s="64">
        <v>14.964116037122807</v>
      </c>
      <c r="E48" s="64">
        <v>0.28422058740718975</v>
      </c>
      <c r="F48" s="64">
        <v>54.185426774218648</v>
      </c>
      <c r="G48" s="64">
        <v>3.5723489929633794</v>
      </c>
      <c r="H48" s="64">
        <v>2.4147622528705863</v>
      </c>
      <c r="I48" s="35">
        <v>23.279749068810034</v>
      </c>
      <c r="J48" s="35">
        <v>14.732405410703784</v>
      </c>
      <c r="K48" s="35">
        <v>0.27445598902176044</v>
      </c>
      <c r="L48" s="35">
        <v>55.342089786316407</v>
      </c>
      <c r="M48" s="35">
        <v>3.5287198588512059</v>
      </c>
      <c r="N48" s="35">
        <v>2.1074299157028036</v>
      </c>
    </row>
    <row r="49" spans="1:14" x14ac:dyDescent="0.25">
      <c r="A49" s="12" t="s">
        <v>108</v>
      </c>
      <c r="B49" s="21">
        <v>100</v>
      </c>
      <c r="C49" s="64">
        <v>50.140227025488727</v>
      </c>
      <c r="D49" s="64">
        <v>0.16212171981217383</v>
      </c>
      <c r="E49" s="64">
        <v>0.37639595889121963</v>
      </c>
      <c r="F49" s="64">
        <v>47.834132772731238</v>
      </c>
      <c r="G49" s="64">
        <v>0.84914693313626577</v>
      </c>
      <c r="H49" s="64">
        <v>0.62867608245624507</v>
      </c>
      <c r="I49" s="35">
        <v>47.7</v>
      </c>
      <c r="J49" s="35">
        <v>0.18639328984156572</v>
      </c>
      <c r="K49" s="35">
        <v>0.37278657968313145</v>
      </c>
      <c r="L49" s="35">
        <v>50.512581547064308</v>
      </c>
      <c r="M49" s="35">
        <v>0.8</v>
      </c>
      <c r="N49" s="35">
        <v>0.46598322460391428</v>
      </c>
    </row>
    <row r="50" spans="1:14" s="10" customFormat="1" ht="22.5" customHeight="1" x14ac:dyDescent="0.25">
      <c r="A50" s="13" t="s">
        <v>91</v>
      </c>
      <c r="B50" s="20">
        <v>100</v>
      </c>
      <c r="C50" s="64">
        <v>39.224126040352616</v>
      </c>
      <c r="D50" s="64">
        <v>24.231290720269879</v>
      </c>
      <c r="E50" s="64">
        <v>0.66154552116283405</v>
      </c>
      <c r="F50" s="64">
        <v>30.936355673346444</v>
      </c>
      <c r="G50" s="64">
        <v>3.8518700042553924</v>
      </c>
      <c r="H50" s="64">
        <v>1.0032439231049695</v>
      </c>
      <c r="I50" s="35">
        <v>39.068537726255848</v>
      </c>
      <c r="J50" s="35">
        <v>24.025489797301876</v>
      </c>
      <c r="K50" s="35">
        <v>0.64402413395701996</v>
      </c>
      <c r="L50" s="35">
        <v>31.475832146973087</v>
      </c>
      <c r="M50" s="35">
        <v>3.8573656023320453</v>
      </c>
      <c r="N50" s="35">
        <v>0.83384177343908894</v>
      </c>
    </row>
    <row r="51" spans="1:14" x14ac:dyDescent="0.25">
      <c r="A51" s="12" t="s">
        <v>30</v>
      </c>
      <c r="B51" s="21">
        <v>100</v>
      </c>
      <c r="C51" s="64">
        <v>43.175042837309164</v>
      </c>
      <c r="D51" s="64">
        <v>35.272443651542723</v>
      </c>
      <c r="E51" s="64">
        <v>0.2574885483364478</v>
      </c>
      <c r="F51" s="64">
        <v>17.122469279304827</v>
      </c>
      <c r="G51" s="64">
        <v>3.8568608884022439</v>
      </c>
      <c r="H51" s="64">
        <v>0.25113723478157307</v>
      </c>
      <c r="I51" s="35">
        <v>43.252279635258361</v>
      </c>
      <c r="J51" s="35">
        <v>35.015197568389056</v>
      </c>
      <c r="K51" s="35">
        <v>0.2735562310030395</v>
      </c>
      <c r="L51" s="35">
        <v>17.416413373860181</v>
      </c>
      <c r="M51" s="35">
        <v>3.7689969604863225</v>
      </c>
      <c r="N51" s="35">
        <v>0.24316109422492402</v>
      </c>
    </row>
    <row r="52" spans="1:14" x14ac:dyDescent="0.25">
      <c r="A52" s="12" t="s">
        <v>74</v>
      </c>
      <c r="B52" s="21">
        <v>100</v>
      </c>
      <c r="C52" s="64">
        <v>79.401254784277981</v>
      </c>
      <c r="D52" s="64">
        <v>5.5582250758656482</v>
      </c>
      <c r="E52" s="64">
        <v>0.31834455383234328</v>
      </c>
      <c r="F52" s="64">
        <v>11.111478146504561</v>
      </c>
      <c r="G52" s="64">
        <v>3.4561906743571553</v>
      </c>
      <c r="H52" s="64">
        <v>0.15452379257747728</v>
      </c>
      <c r="I52" s="35">
        <v>81.303602058319001</v>
      </c>
      <c r="J52" s="35">
        <v>5.6</v>
      </c>
      <c r="K52" s="35">
        <v>0.34305317324185253</v>
      </c>
      <c r="L52" s="35">
        <v>9.1999999999999993</v>
      </c>
      <c r="M52" s="35">
        <v>3.4305317324185252</v>
      </c>
      <c r="N52" s="35">
        <v>0.1</v>
      </c>
    </row>
    <row r="53" spans="1:14" ht="20.25" x14ac:dyDescent="0.25">
      <c r="A53" s="12" t="s">
        <v>86</v>
      </c>
      <c r="B53" s="21">
        <v>100</v>
      </c>
      <c r="C53" s="64">
        <v>45.369937436584799</v>
      </c>
      <c r="D53" s="64">
        <v>26.721280047796682</v>
      </c>
      <c r="E53" s="64">
        <v>0.25500974532793308</v>
      </c>
      <c r="F53" s="64">
        <v>21.933089287714704</v>
      </c>
      <c r="G53" s="64">
        <v>5.0975863853775589</v>
      </c>
      <c r="H53" s="64">
        <v>0.60422998509390946</v>
      </c>
      <c r="I53" s="35">
        <v>43.89179755671902</v>
      </c>
      <c r="J53" s="35">
        <v>25.828970331588135</v>
      </c>
      <c r="K53" s="35">
        <v>0.26178010471204188</v>
      </c>
      <c r="L53" s="35">
        <v>24.781849912739965</v>
      </c>
      <c r="M53" s="35">
        <v>4.7120418848167551</v>
      </c>
      <c r="N53" s="35">
        <v>0.5</v>
      </c>
    </row>
    <row r="54" spans="1:14" ht="20.25" x14ac:dyDescent="0.25">
      <c r="A54" s="12" t="s">
        <v>75</v>
      </c>
      <c r="B54" s="21">
        <v>100</v>
      </c>
      <c r="C54" s="64">
        <v>38.457545258136243</v>
      </c>
      <c r="D54" s="64">
        <v>25.889987331185388</v>
      </c>
      <c r="E54" s="64">
        <v>0.25249315951625856</v>
      </c>
      <c r="F54" s="64">
        <v>32.485815715870821</v>
      </c>
      <c r="G54" s="64">
        <v>2.5803619712570662</v>
      </c>
      <c r="H54" s="64">
        <v>0.28240927984805703</v>
      </c>
      <c r="I54" s="35">
        <v>38.247566063977743</v>
      </c>
      <c r="J54" s="35">
        <v>25.8</v>
      </c>
      <c r="K54" s="35">
        <v>0.27816411682892905</v>
      </c>
      <c r="L54" s="35">
        <v>32.823365785813628</v>
      </c>
      <c r="M54" s="35">
        <v>2.6</v>
      </c>
      <c r="N54" s="35">
        <v>0.27816411682892905</v>
      </c>
    </row>
    <row r="55" spans="1:14" ht="20.25" x14ac:dyDescent="0.25">
      <c r="A55" s="12" t="s">
        <v>92</v>
      </c>
      <c r="B55" s="21">
        <v>100</v>
      </c>
      <c r="C55" s="64">
        <v>48.090938569762052</v>
      </c>
      <c r="D55" s="64">
        <v>20.28895637577865</v>
      </c>
      <c r="E55" s="64">
        <v>0.39254316123154864</v>
      </c>
      <c r="F55" s="64">
        <v>25.852231975215723</v>
      </c>
      <c r="G55" s="64">
        <v>4.2940612246444232</v>
      </c>
      <c r="H55" s="64">
        <v>0.76941354085764768</v>
      </c>
      <c r="I55" s="35">
        <v>49.393414211438476</v>
      </c>
      <c r="J55" s="35">
        <v>20.103986135181977</v>
      </c>
      <c r="K55" s="35">
        <v>0.43327556325823224</v>
      </c>
      <c r="L55" s="35">
        <v>24.783362218370883</v>
      </c>
      <c r="M55" s="35">
        <v>4.159445407279029</v>
      </c>
      <c r="N55" s="35">
        <v>0.77989601386481799</v>
      </c>
    </row>
    <row r="56" spans="1:14" x14ac:dyDescent="0.25">
      <c r="A56" s="12" t="s">
        <v>87</v>
      </c>
      <c r="B56" s="21">
        <v>100</v>
      </c>
      <c r="C56" s="64">
        <v>42.303390204154141</v>
      </c>
      <c r="D56" s="64">
        <v>37.876518936920192</v>
      </c>
      <c r="E56" s="64">
        <v>0.38971953025079403</v>
      </c>
      <c r="F56" s="64">
        <v>16.890311618224988</v>
      </c>
      <c r="G56" s="64">
        <v>2.2307518481751125</v>
      </c>
      <c r="H56" s="64">
        <v>0.30930786227476842</v>
      </c>
      <c r="I56" s="35">
        <v>41.332733003151731</v>
      </c>
      <c r="J56" s="35">
        <v>37.370553804592525</v>
      </c>
      <c r="K56" s="35">
        <v>0.36019810895992799</v>
      </c>
      <c r="L56" s="35">
        <v>18.640252138676271</v>
      </c>
      <c r="M56" s="35">
        <v>2.1</v>
      </c>
      <c r="N56" s="35">
        <v>0.18009905447996399</v>
      </c>
    </row>
    <row r="57" spans="1:14" x14ac:dyDescent="0.25">
      <c r="A57" s="12" t="s">
        <v>31</v>
      </c>
      <c r="B57" s="21">
        <v>100</v>
      </c>
      <c r="C57" s="64">
        <v>28.685375294645006</v>
      </c>
      <c r="D57" s="64">
        <v>14.668632723849642</v>
      </c>
      <c r="E57" s="64">
        <v>1.2219109596566209</v>
      </c>
      <c r="F57" s="64">
        <v>48.955804463863402</v>
      </c>
      <c r="G57" s="64">
        <v>4.333553084201772</v>
      </c>
      <c r="H57" s="64">
        <v>2.0091741031907766</v>
      </c>
      <c r="I57" s="35">
        <v>28.383892141209859</v>
      </c>
      <c r="J57" s="35">
        <v>14.51126485719354</v>
      </c>
      <c r="K57" s="35">
        <v>1.1708355508249066</v>
      </c>
      <c r="L57" s="35">
        <v>49.600851516764237</v>
      </c>
      <c r="M57" s="35">
        <v>4.5414227425935785</v>
      </c>
      <c r="N57" s="35">
        <v>1.6852935958843356</v>
      </c>
    </row>
    <row r="58" spans="1:14" s="10" customFormat="1" ht="19.5" x14ac:dyDescent="0.25">
      <c r="A58" s="13" t="s">
        <v>82</v>
      </c>
      <c r="B58" s="20">
        <v>100</v>
      </c>
      <c r="C58" s="64">
        <v>23.231249777898153</v>
      </c>
      <c r="D58" s="64">
        <v>12.925399684715213</v>
      </c>
      <c r="E58" s="64">
        <v>0.32859510129497438</v>
      </c>
      <c r="F58" s="64">
        <v>54.685877335713201</v>
      </c>
      <c r="G58" s="64">
        <v>4.2929520925771234</v>
      </c>
      <c r="H58" s="64">
        <v>3.3976945967820211</v>
      </c>
      <c r="I58" s="35">
        <v>22.8035065317749</v>
      </c>
      <c r="J58" s="35">
        <v>12.594538846871622</v>
      </c>
      <c r="K58" s="35">
        <v>0.31922208034574207</v>
      </c>
      <c r="L58" s="35">
        <v>55.726353010509776</v>
      </c>
      <c r="M58" s="35">
        <v>4.3058147529712212</v>
      </c>
      <c r="N58" s="35">
        <v>3.1381986052450643</v>
      </c>
    </row>
    <row r="59" spans="1:14" x14ac:dyDescent="0.25">
      <c r="A59" s="12" t="s">
        <v>76</v>
      </c>
      <c r="B59" s="21">
        <v>100</v>
      </c>
      <c r="C59" s="64">
        <v>22.74707248460976</v>
      </c>
      <c r="D59" s="64">
        <v>14.723573329114345</v>
      </c>
      <c r="E59" s="64">
        <v>0.26147402995680552</v>
      </c>
      <c r="F59" s="64">
        <v>56.397146032599579</v>
      </c>
      <c r="G59" s="64">
        <v>3.4438667200157989</v>
      </c>
      <c r="H59" s="64">
        <v>2.0307047400934102</v>
      </c>
      <c r="I59" s="35">
        <v>22.312394603709947</v>
      </c>
      <c r="J59" s="35">
        <v>14.376053962900507</v>
      </c>
      <c r="K59" s="35">
        <v>0.26349072512647559</v>
      </c>
      <c r="L59" s="35">
        <v>57.672849915682974</v>
      </c>
      <c r="M59" s="35">
        <v>3.3726812816188869</v>
      </c>
      <c r="N59" s="35">
        <v>1.6441821247892074</v>
      </c>
    </row>
    <row r="60" spans="1:14" x14ac:dyDescent="0.25">
      <c r="A60" s="12" t="s">
        <v>32</v>
      </c>
      <c r="B60" s="21">
        <v>100</v>
      </c>
      <c r="C60" s="64">
        <v>27.326092208953369</v>
      </c>
      <c r="D60" s="64">
        <v>15.97916750352733</v>
      </c>
      <c r="E60" s="64">
        <v>0.3106446650087985</v>
      </c>
      <c r="F60" s="64">
        <v>51.990836390631181</v>
      </c>
      <c r="G60" s="64">
        <v>2.2537308291363156</v>
      </c>
      <c r="H60" s="64">
        <v>2.1377404511764664</v>
      </c>
      <c r="I60" s="35">
        <v>27.197640117994098</v>
      </c>
      <c r="J60" s="35">
        <v>15.221238938053098</v>
      </c>
      <c r="K60" s="35">
        <v>0.3</v>
      </c>
      <c r="L60" s="35">
        <v>53.274336283185839</v>
      </c>
      <c r="M60" s="35">
        <v>2.1828908554572273</v>
      </c>
      <c r="N60" s="35">
        <v>1.8289085545722714</v>
      </c>
    </row>
    <row r="61" spans="1:14" x14ac:dyDescent="0.25">
      <c r="A61" s="12" t="s">
        <v>33</v>
      </c>
      <c r="B61" s="21">
        <v>100</v>
      </c>
      <c r="C61" s="64">
        <v>31.328371327245101</v>
      </c>
      <c r="D61" s="64">
        <v>13.915202243214043</v>
      </c>
      <c r="E61" s="64">
        <v>0.27499466884158347</v>
      </c>
      <c r="F61" s="64">
        <v>50.351094683613987</v>
      </c>
      <c r="G61" s="64">
        <v>2.4620168343618665</v>
      </c>
      <c r="H61" s="64">
        <v>1.5839328469710332</v>
      </c>
      <c r="I61" s="35">
        <v>30.374064837905234</v>
      </c>
      <c r="J61" s="35">
        <v>13.615960099750623</v>
      </c>
      <c r="K61" s="35">
        <v>0.3</v>
      </c>
      <c r="L61" s="35">
        <v>51.870324189526187</v>
      </c>
      <c r="M61" s="35">
        <v>2.3940149625935163</v>
      </c>
      <c r="N61" s="35">
        <v>1.396508728179551</v>
      </c>
    </row>
    <row r="62" spans="1:14" x14ac:dyDescent="0.25">
      <c r="A62" s="12" t="s">
        <v>34</v>
      </c>
      <c r="B62" s="21">
        <v>100</v>
      </c>
      <c r="C62" s="64">
        <v>17.439725287629127</v>
      </c>
      <c r="D62" s="64">
        <v>12.392440017215302</v>
      </c>
      <c r="E62" s="64">
        <v>0.42286018867525804</v>
      </c>
      <c r="F62" s="64">
        <v>57.719869325451988</v>
      </c>
      <c r="G62" s="64">
        <v>4.8680046467006211</v>
      </c>
      <c r="H62" s="64">
        <v>6.5732861611832512</v>
      </c>
      <c r="I62" s="35">
        <v>17.276674937965264</v>
      </c>
      <c r="J62" s="35">
        <v>11.88740694789082</v>
      </c>
      <c r="K62" s="35">
        <v>0.37996277915632759</v>
      </c>
      <c r="L62" s="35">
        <v>58.839950372208435</v>
      </c>
      <c r="M62" s="35">
        <v>4.7146401985111659</v>
      </c>
      <c r="N62" s="35">
        <v>6.3197890818858573</v>
      </c>
    </row>
    <row r="63" spans="1:14" x14ac:dyDescent="0.25">
      <c r="A63" s="12" t="s">
        <v>84</v>
      </c>
      <c r="B63" s="21">
        <v>100</v>
      </c>
      <c r="C63" s="64">
        <v>21.732608719915916</v>
      </c>
      <c r="D63" s="64">
        <v>15.282327900398116</v>
      </c>
      <c r="E63" s="64">
        <v>0.32206025421821721</v>
      </c>
      <c r="F63" s="64">
        <v>49.318142997328913</v>
      </c>
      <c r="G63" s="64">
        <v>8.3258112830593678</v>
      </c>
      <c r="H63" s="64">
        <v>0.87244858681980031</v>
      </c>
      <c r="I63" s="35">
        <v>20.6</v>
      </c>
      <c r="J63" s="35">
        <v>14.382174206617149</v>
      </c>
      <c r="K63" s="35">
        <v>0.31510240828269187</v>
      </c>
      <c r="L63" s="35">
        <v>51.069097456673418</v>
      </c>
      <c r="M63" s="35">
        <v>9.6556380823767718</v>
      </c>
      <c r="N63" s="35">
        <v>0.78775602070672957</v>
      </c>
    </row>
    <row r="64" spans="1:14" x14ac:dyDescent="0.25">
      <c r="A64" s="12" t="s">
        <v>77</v>
      </c>
      <c r="B64" s="21">
        <v>100</v>
      </c>
      <c r="C64" s="64">
        <v>25.595922497937881</v>
      </c>
      <c r="D64" s="64">
        <v>14.133581628825155</v>
      </c>
      <c r="E64" s="64">
        <v>0.25046835774513154</v>
      </c>
      <c r="F64" s="64">
        <v>54.869883181120571</v>
      </c>
      <c r="G64" s="64">
        <v>2.5498511516750133</v>
      </c>
      <c r="H64" s="64">
        <v>2.5459084514110732</v>
      </c>
      <c r="I64" s="35">
        <v>25.203252032520325</v>
      </c>
      <c r="J64" s="35">
        <v>13.57370095440085</v>
      </c>
      <c r="K64" s="35">
        <v>0.24743725698126548</v>
      </c>
      <c r="L64" s="35">
        <v>55.779427359490995</v>
      </c>
      <c r="M64" s="35">
        <v>2.7</v>
      </c>
      <c r="N64" s="35">
        <v>2.4036762106751501</v>
      </c>
    </row>
    <row r="65" spans="1:14" x14ac:dyDescent="0.25">
      <c r="A65" s="12" t="s">
        <v>35</v>
      </c>
      <c r="B65" s="21">
        <v>100</v>
      </c>
      <c r="C65" s="64">
        <v>21.96279788454045</v>
      </c>
      <c r="D65" s="64">
        <v>11.960281210639698</v>
      </c>
      <c r="E65" s="64">
        <v>0.35080597917116024</v>
      </c>
      <c r="F65" s="64">
        <v>58.332104537413535</v>
      </c>
      <c r="G65" s="64">
        <v>4.498483172097556</v>
      </c>
      <c r="H65" s="64">
        <v>2.3419324638229169</v>
      </c>
      <c r="I65" s="35">
        <v>21.413663559204117</v>
      </c>
      <c r="J65" s="35">
        <v>11.590371504104633</v>
      </c>
      <c r="K65" s="35">
        <v>0.34785028523723388</v>
      </c>
      <c r="L65" s="35">
        <v>59.746764992347288</v>
      </c>
      <c r="M65" s="35">
        <v>4.1602894114373168</v>
      </c>
      <c r="N65" s="35">
        <v>2.1427577570613607</v>
      </c>
    </row>
    <row r="66" spans="1:14" x14ac:dyDescent="0.25">
      <c r="A66" s="12" t="s">
        <v>36</v>
      </c>
      <c r="B66" s="21">
        <v>100</v>
      </c>
      <c r="C66" s="64">
        <v>28.432963831197362</v>
      </c>
      <c r="D66" s="64">
        <v>14.216729784323945</v>
      </c>
      <c r="E66" s="64">
        <v>0.27835946066647577</v>
      </c>
      <c r="F66" s="64">
        <v>50.901093605462449</v>
      </c>
      <c r="G66" s="64">
        <v>3.4171585972186533</v>
      </c>
      <c r="H66" s="64">
        <v>2.1948343292996539</v>
      </c>
      <c r="I66" s="35">
        <v>28.02325581395349</v>
      </c>
      <c r="J66" s="35">
        <v>13.982558139534884</v>
      </c>
      <c r="K66" s="35">
        <v>0.29069767441860467</v>
      </c>
      <c r="L66" s="35">
        <v>51.656976744186046</v>
      </c>
      <c r="M66" s="35">
        <v>3.4302325581395352</v>
      </c>
      <c r="N66" s="35">
        <v>1.9476744186046513</v>
      </c>
    </row>
    <row r="67" spans="1:14" x14ac:dyDescent="0.25">
      <c r="A67" s="12" t="s">
        <v>78</v>
      </c>
      <c r="B67" s="21">
        <v>100</v>
      </c>
      <c r="C67" s="64">
        <v>21.671376073452091</v>
      </c>
      <c r="D67" s="64">
        <v>11.891793044472797</v>
      </c>
      <c r="E67" s="64">
        <v>0.4347367984847294</v>
      </c>
      <c r="F67" s="64">
        <v>55.644917243799441</v>
      </c>
      <c r="G67" s="64">
        <v>5.3385372133491966</v>
      </c>
      <c r="H67" s="64">
        <v>3.9061698122919326</v>
      </c>
      <c r="I67" s="35">
        <v>21.238700438557238</v>
      </c>
      <c r="J67" s="35">
        <v>11.697843014409736</v>
      </c>
      <c r="K67" s="35">
        <v>0.4296070885169605</v>
      </c>
      <c r="L67" s="35">
        <v>56.475431844625433</v>
      </c>
      <c r="M67" s="35">
        <v>5.2626868343327668</v>
      </c>
      <c r="N67" s="35">
        <v>3.7232614338136587</v>
      </c>
    </row>
    <row r="68" spans="1:14" x14ac:dyDescent="0.25">
      <c r="A68" s="12" t="s">
        <v>37</v>
      </c>
      <c r="B68" s="21">
        <v>100</v>
      </c>
      <c r="C68" s="64">
        <v>27.105649387573191</v>
      </c>
      <c r="D68" s="64">
        <v>15.051049048338161</v>
      </c>
      <c r="E68" s="64">
        <v>0.27623308374672717</v>
      </c>
      <c r="F68" s="64">
        <v>51.633975997948738</v>
      </c>
      <c r="G68" s="64">
        <v>3.5310937134750073</v>
      </c>
      <c r="H68" s="64">
        <v>2.3977502424551753</v>
      </c>
      <c r="I68" s="35">
        <v>27.396972245584529</v>
      </c>
      <c r="J68" s="35">
        <v>15.3</v>
      </c>
      <c r="K68" s="35">
        <v>0.29436501261564335</v>
      </c>
      <c r="L68" s="35">
        <v>51.240538267451626</v>
      </c>
      <c r="M68" s="35">
        <v>3.5744322960470982</v>
      </c>
      <c r="N68" s="35">
        <v>2.2497897392767028</v>
      </c>
    </row>
    <row r="69" spans="1:14" x14ac:dyDescent="0.25">
      <c r="A69" s="12" t="s">
        <v>38</v>
      </c>
      <c r="B69" s="21">
        <v>100</v>
      </c>
      <c r="C69" s="64">
        <v>24.916993309841175</v>
      </c>
      <c r="D69" s="64">
        <v>15.805848629928345</v>
      </c>
      <c r="E69" s="64">
        <v>0.36484469126367602</v>
      </c>
      <c r="F69" s="64">
        <v>47.938460429342392</v>
      </c>
      <c r="G69" s="64">
        <v>3.0211442753316309</v>
      </c>
      <c r="H69" s="64">
        <v>2.7101194855163522</v>
      </c>
      <c r="I69" s="35">
        <v>24.093527617756688</v>
      </c>
      <c r="J69" s="35">
        <v>15.3</v>
      </c>
      <c r="K69" s="35">
        <v>0.4</v>
      </c>
      <c r="L69" s="35">
        <v>49.373093866485931</v>
      </c>
      <c r="M69" s="35">
        <v>2.9142663503896977</v>
      </c>
      <c r="N69" s="35">
        <v>2.5415113520840391</v>
      </c>
    </row>
    <row r="70" spans="1:14" x14ac:dyDescent="0.25">
      <c r="A70" s="12" t="s">
        <v>39</v>
      </c>
      <c r="B70" s="21">
        <v>100</v>
      </c>
      <c r="C70" s="64">
        <v>22.312319036971363</v>
      </c>
      <c r="D70" s="64">
        <v>7.4232080990941194</v>
      </c>
      <c r="E70" s="64">
        <v>0.2594987962994646</v>
      </c>
      <c r="F70" s="64">
        <v>59.917078807050089</v>
      </c>
      <c r="G70" s="64">
        <v>4.7699850946440643</v>
      </c>
      <c r="H70" s="64">
        <v>3.7146837576840026</v>
      </c>
      <c r="I70" s="35">
        <v>21.972908696101747</v>
      </c>
      <c r="J70" s="35">
        <v>7.2277944369765281</v>
      </c>
      <c r="K70" s="35">
        <v>0.26884500051700966</v>
      </c>
      <c r="L70" s="35">
        <v>60.707269155206291</v>
      </c>
      <c r="M70" s="35">
        <v>4.8185296246510179</v>
      </c>
      <c r="N70" s="35">
        <v>3.4329438527556615</v>
      </c>
    </row>
    <row r="71" spans="1:14" x14ac:dyDescent="0.25">
      <c r="A71" s="12" t="s">
        <v>40</v>
      </c>
      <c r="B71" s="21">
        <v>100</v>
      </c>
      <c r="C71" s="64">
        <v>29.939757733446566</v>
      </c>
      <c r="D71" s="64">
        <v>15.078715339483519</v>
      </c>
      <c r="E71" s="64">
        <v>0.23818305281045662</v>
      </c>
      <c r="F71" s="64">
        <v>46.442236361048749</v>
      </c>
      <c r="G71" s="64">
        <v>2.803786543081952</v>
      </c>
      <c r="H71" s="64">
        <v>3.7860371888373638</v>
      </c>
      <c r="I71" s="35">
        <v>29.762523834286704</v>
      </c>
      <c r="J71" s="35">
        <v>15.063269197434565</v>
      </c>
      <c r="K71" s="35">
        <v>0.24267637372161552</v>
      </c>
      <c r="L71" s="35">
        <v>47.165886635465426</v>
      </c>
      <c r="M71" s="35">
        <v>2.7907782977985787</v>
      </c>
      <c r="N71" s="35">
        <v>3.2587970185474089</v>
      </c>
    </row>
    <row r="72" spans="1:14" x14ac:dyDescent="0.25">
      <c r="A72" s="12" t="s">
        <v>41</v>
      </c>
      <c r="B72" s="21">
        <v>100</v>
      </c>
      <c r="C72" s="64">
        <v>26.107493642919778</v>
      </c>
      <c r="D72" s="64">
        <v>14.496434723677041</v>
      </c>
      <c r="E72" s="64">
        <v>0.33265506602732409</v>
      </c>
      <c r="F72" s="64">
        <v>51.321871139340971</v>
      </c>
      <c r="G72" s="64">
        <v>3.2259405133568908</v>
      </c>
      <c r="H72" s="64">
        <v>3.2723099170451464</v>
      </c>
      <c r="I72" s="35">
        <v>25.492689129052764</v>
      </c>
      <c r="J72" s="35">
        <v>13.954227590591225</v>
      </c>
      <c r="K72" s="35">
        <v>0.31786395422759056</v>
      </c>
      <c r="L72" s="35">
        <v>53.115066751430383</v>
      </c>
      <c r="M72" s="35">
        <v>3.1786395422759059</v>
      </c>
      <c r="N72" s="35">
        <v>2.7336300063572785</v>
      </c>
    </row>
    <row r="73" spans="1:14" s="10" customFormat="1" ht="19.5" x14ac:dyDescent="0.25">
      <c r="A73" s="13" t="s">
        <v>79</v>
      </c>
      <c r="B73" s="20">
        <v>100</v>
      </c>
      <c r="C73" s="64">
        <v>20.463068861242313</v>
      </c>
      <c r="D73" s="64">
        <v>13.544622869614015</v>
      </c>
      <c r="E73" s="64">
        <v>0.22366295952138815</v>
      </c>
      <c r="F73" s="64">
        <v>57.953137990610628</v>
      </c>
      <c r="G73" s="64">
        <v>3.4588334688019096</v>
      </c>
      <c r="H73" s="64">
        <v>3.8236777520933143</v>
      </c>
      <c r="I73" s="35">
        <v>20.352181013467135</v>
      </c>
      <c r="J73" s="35">
        <v>13.263591394286525</v>
      </c>
      <c r="K73" s="35">
        <v>0.22484674918936831</v>
      </c>
      <c r="L73" s="35">
        <v>58.540626257366689</v>
      </c>
      <c r="M73" s="35">
        <v>3.5644126766230384</v>
      </c>
      <c r="N73" s="35">
        <v>3.4792075927196984</v>
      </c>
    </row>
    <row r="74" spans="1:14" x14ac:dyDescent="0.25">
      <c r="A74" s="12" t="s">
        <v>42</v>
      </c>
      <c r="B74" s="21">
        <v>100</v>
      </c>
      <c r="C74" s="64">
        <v>31.043627115347913</v>
      </c>
      <c r="D74" s="64">
        <v>17.984017909269866</v>
      </c>
      <c r="E74" s="64">
        <v>0.28270202901521208</v>
      </c>
      <c r="F74" s="64">
        <v>39.917492201914634</v>
      </c>
      <c r="G74" s="64">
        <v>9.4272305792269737</v>
      </c>
      <c r="H74" s="64">
        <v>1.2616789718591095</v>
      </c>
      <c r="I74" s="35">
        <v>29.690618762475051</v>
      </c>
      <c r="J74" s="35">
        <v>17.3</v>
      </c>
      <c r="K74" s="35">
        <v>0.29940119760479039</v>
      </c>
      <c r="L74" s="35">
        <v>41.616766467065872</v>
      </c>
      <c r="M74" s="35">
        <v>9.9301397205588806</v>
      </c>
      <c r="N74" s="35">
        <v>1.097804391217565</v>
      </c>
    </row>
    <row r="75" spans="1:14" x14ac:dyDescent="0.25">
      <c r="A75" s="12" t="s">
        <v>43</v>
      </c>
      <c r="B75" s="21">
        <v>100</v>
      </c>
      <c r="C75" s="64">
        <v>22.141187607520326</v>
      </c>
      <c r="D75" s="64">
        <v>12.778602673366724</v>
      </c>
      <c r="E75" s="64">
        <v>0.19500403331898419</v>
      </c>
      <c r="F75" s="64">
        <v>54.159095779268824</v>
      </c>
      <c r="G75" s="64">
        <v>4.346323891251374</v>
      </c>
      <c r="H75" s="64">
        <v>5.3663888034027893</v>
      </c>
      <c r="I75" s="35">
        <v>21.602337591736884</v>
      </c>
      <c r="J75" s="35">
        <v>12.550964936123945</v>
      </c>
      <c r="K75" s="35">
        <v>0.18347377004620824</v>
      </c>
      <c r="L75" s="35">
        <v>55.035335689045937</v>
      </c>
      <c r="M75" s="35">
        <v>4.6751834737700459</v>
      </c>
      <c r="N75" s="35">
        <v>4.9537917912476219</v>
      </c>
    </row>
    <row r="76" spans="1:14" x14ac:dyDescent="0.25">
      <c r="A76" s="12" t="s">
        <v>44</v>
      </c>
      <c r="B76" s="21">
        <v>100</v>
      </c>
      <c r="C76" s="64">
        <v>16.828030714436892</v>
      </c>
      <c r="D76" s="64">
        <v>12.696802914221976</v>
      </c>
      <c r="E76" s="64">
        <v>0.22818883247157065</v>
      </c>
      <c r="F76" s="64">
        <v>65.170105565192799</v>
      </c>
      <c r="G76" s="64">
        <v>1.5536944368114285</v>
      </c>
      <c r="H76" s="64">
        <v>3.5230480254630701</v>
      </c>
      <c r="I76" s="35">
        <v>16.821525358110723</v>
      </c>
      <c r="J76" s="35">
        <v>12.459672215769777</v>
      </c>
      <c r="K76" s="35">
        <v>0.21938314621241453</v>
      </c>
      <c r="L76" s="35">
        <v>65.866563427539035</v>
      </c>
      <c r="M76" s="35">
        <v>1.4905149051490516</v>
      </c>
      <c r="N76" s="35">
        <v>3.142340947218996</v>
      </c>
    </row>
    <row r="77" spans="1:14" ht="12.75" customHeight="1" x14ac:dyDescent="0.25">
      <c r="A77" s="14" t="s">
        <v>45</v>
      </c>
      <c r="B77" s="21">
        <v>100</v>
      </c>
      <c r="C77" s="22"/>
      <c r="D77" s="22"/>
      <c r="E77" s="22"/>
      <c r="F77" s="22"/>
      <c r="G77" s="22"/>
      <c r="H77" s="22"/>
      <c r="I77" s="35"/>
      <c r="J77" s="35"/>
      <c r="K77" s="35"/>
      <c r="L77" s="35"/>
      <c r="M77" s="35"/>
      <c r="N77" s="35"/>
    </row>
    <row r="78" spans="1:14" ht="20.25" x14ac:dyDescent="0.25">
      <c r="A78" s="15" t="s">
        <v>85</v>
      </c>
      <c r="B78" s="21">
        <v>100</v>
      </c>
      <c r="C78" s="64">
        <v>15.424103299595659</v>
      </c>
      <c r="D78" s="64">
        <v>13.146042605650148</v>
      </c>
      <c r="E78" s="64">
        <v>0.22988471746431693</v>
      </c>
      <c r="F78" s="64">
        <v>66.371219298538307</v>
      </c>
      <c r="G78" s="64">
        <v>1.2511605129217103</v>
      </c>
      <c r="H78" s="64">
        <v>3.5773181841378787</v>
      </c>
      <c r="I78" s="35">
        <v>15.410865410865412</v>
      </c>
      <c r="J78" s="35">
        <v>12.749112749112749</v>
      </c>
      <c r="K78" s="35">
        <v>0.23205023205023204</v>
      </c>
      <c r="L78" s="35">
        <v>67.158067158067155</v>
      </c>
      <c r="M78" s="35">
        <v>1.2285012285012284</v>
      </c>
      <c r="N78" s="35">
        <v>3.2214032214032211</v>
      </c>
    </row>
    <row r="79" spans="1:14" ht="20.25" x14ac:dyDescent="0.25">
      <c r="A79" s="15" t="s">
        <v>88</v>
      </c>
      <c r="B79" s="21">
        <v>100</v>
      </c>
      <c r="C79" s="64">
        <v>11.795441440394702</v>
      </c>
      <c r="D79" s="64">
        <v>12.819795070797356</v>
      </c>
      <c r="E79" s="64">
        <v>0.1638846669478278</v>
      </c>
      <c r="F79" s="64">
        <v>69.320265697828432</v>
      </c>
      <c r="G79" s="64">
        <v>1.9528658133934174</v>
      </c>
      <c r="H79" s="64">
        <v>3.9477445780885914</v>
      </c>
      <c r="I79" s="35">
        <v>12.170047235343151</v>
      </c>
      <c r="J79" s="35">
        <v>12.948041122534038</v>
      </c>
      <c r="K79" s="35">
        <v>0.13892747985551543</v>
      </c>
      <c r="L79" s="35">
        <v>68.963601000277848</v>
      </c>
      <c r="M79" s="35">
        <v>2.0005557099194222</v>
      </c>
      <c r="N79" s="35">
        <v>3.7510419560989168</v>
      </c>
    </row>
    <row r="80" spans="1:14" ht="20.25" x14ac:dyDescent="0.25">
      <c r="A80" s="15" t="s">
        <v>105</v>
      </c>
      <c r="B80" s="21">
        <v>100</v>
      </c>
      <c r="C80" s="64">
        <v>23.125086447474764</v>
      </c>
      <c r="D80" s="64">
        <v>11.873461869827738</v>
      </c>
      <c r="E80" s="64">
        <v>0.27697125090300528</v>
      </c>
      <c r="F80" s="64">
        <v>59.907245116065219</v>
      </c>
      <c r="G80" s="64">
        <v>1.7219986695572178</v>
      </c>
      <c r="H80" s="64">
        <v>3.0952344569355952</v>
      </c>
      <c r="I80" s="35">
        <v>22.74218237480866</v>
      </c>
      <c r="J80" s="35">
        <v>11.611633500984036</v>
      </c>
      <c r="K80" s="35">
        <v>0.2624097966324076</v>
      </c>
      <c r="L80" s="35">
        <v>61.360157445877981</v>
      </c>
      <c r="M80" s="35">
        <v>1.486988847583643</v>
      </c>
      <c r="N80" s="35">
        <v>2.5366280341132734</v>
      </c>
    </row>
    <row r="81" spans="1:14" x14ac:dyDescent="0.25">
      <c r="A81" s="12" t="s">
        <v>46</v>
      </c>
      <c r="B81" s="21">
        <v>100</v>
      </c>
      <c r="C81" s="64">
        <v>21.565161440971984</v>
      </c>
      <c r="D81" s="64">
        <v>15.107203618032282</v>
      </c>
      <c r="E81" s="64">
        <v>0.2469340999355116</v>
      </c>
      <c r="F81" s="64">
        <v>55.85506075068038</v>
      </c>
      <c r="G81" s="64">
        <v>3.9411440638089705</v>
      </c>
      <c r="H81" s="64">
        <v>2.5378520755981624</v>
      </c>
      <c r="I81" s="35">
        <v>22.117013854280877</v>
      </c>
      <c r="J81" s="35">
        <v>14.731386424798169</v>
      </c>
      <c r="K81" s="35">
        <v>0.27907903917073656</v>
      </c>
      <c r="L81" s="35">
        <v>55.74603807435463</v>
      </c>
      <c r="M81" s="35">
        <v>3.8672381142230634</v>
      </c>
      <c r="N81" s="35">
        <v>2.3123691817003889</v>
      </c>
    </row>
    <row r="82" spans="1:14" s="10" customFormat="1" ht="19.5" x14ac:dyDescent="0.25">
      <c r="A82" s="13" t="s">
        <v>80</v>
      </c>
      <c r="B82" s="20">
        <v>100</v>
      </c>
      <c r="C82" s="64">
        <v>26.350297271082312</v>
      </c>
      <c r="D82" s="64">
        <v>16.000719723219042</v>
      </c>
      <c r="E82" s="64">
        <v>0.24685048104208704</v>
      </c>
      <c r="F82" s="64">
        <v>50.027028814825677</v>
      </c>
      <c r="G82" s="64">
        <v>2.4589920600733435</v>
      </c>
      <c r="H82" s="64">
        <v>4.1049404416259581</v>
      </c>
      <c r="I82" s="35">
        <v>25.899975343141286</v>
      </c>
      <c r="J82" s="35">
        <v>15.780389578367714</v>
      </c>
      <c r="K82" s="35">
        <v>0.24656858716199553</v>
      </c>
      <c r="L82" s="35">
        <v>50.976000657516231</v>
      </c>
      <c r="M82" s="35">
        <v>2.4163721541875565</v>
      </c>
      <c r="N82" s="35">
        <v>3.8444152215007805</v>
      </c>
    </row>
    <row r="83" spans="1:14" x14ac:dyDescent="0.25">
      <c r="A83" s="12" t="s">
        <v>47</v>
      </c>
      <c r="B83" s="21">
        <v>100</v>
      </c>
      <c r="C83" s="64">
        <v>38.64543826495639</v>
      </c>
      <c r="D83" s="64">
        <v>29.641717386285105</v>
      </c>
      <c r="E83" s="64">
        <v>0.20510491314693183</v>
      </c>
      <c r="F83" s="64">
        <v>29.544598106423273</v>
      </c>
      <c r="G83" s="64">
        <v>0.57842895259119664</v>
      </c>
      <c r="H83" s="64">
        <v>1.3847123765971048</v>
      </c>
      <c r="I83" s="35">
        <v>38.229376257545269</v>
      </c>
      <c r="J83" s="35">
        <v>29.577464788732392</v>
      </c>
      <c r="K83" s="35">
        <v>0.2012072434607646</v>
      </c>
      <c r="L83" s="35">
        <v>29.979879275653921</v>
      </c>
      <c r="M83" s="35">
        <v>0.60362173038229372</v>
      </c>
      <c r="N83" s="35">
        <v>1.408450704225352</v>
      </c>
    </row>
    <row r="84" spans="1:14" x14ac:dyDescent="0.25">
      <c r="A84" s="12" t="s">
        <v>49</v>
      </c>
      <c r="B84" s="21">
        <v>100</v>
      </c>
      <c r="C84" s="64">
        <v>45.915782380089503</v>
      </c>
      <c r="D84" s="64">
        <v>36.516804213644775</v>
      </c>
      <c r="E84" s="64">
        <v>0.23687638942343173</v>
      </c>
      <c r="F84" s="64">
        <v>14.513364779643068</v>
      </c>
      <c r="G84" s="64">
        <v>0.3368869447047329</v>
      </c>
      <c r="H84" s="64">
        <v>2.4802999934433769</v>
      </c>
      <c r="I84" s="35">
        <v>45.414847161572048</v>
      </c>
      <c r="J84" s="35">
        <v>36.098981077147016</v>
      </c>
      <c r="K84" s="35">
        <v>0.2</v>
      </c>
      <c r="L84" s="35">
        <v>15.2</v>
      </c>
      <c r="M84" s="35">
        <v>0.4</v>
      </c>
      <c r="N84" s="35">
        <v>2.6200873362445414</v>
      </c>
    </row>
    <row r="85" spans="1:14" x14ac:dyDescent="0.25">
      <c r="A85" s="12" t="s">
        <v>50</v>
      </c>
      <c r="B85" s="21">
        <v>100</v>
      </c>
      <c r="C85" s="64">
        <v>33.493105598504208</v>
      </c>
      <c r="D85" s="64">
        <v>20.996714420358753</v>
      </c>
      <c r="E85" s="64">
        <v>0.34140170937994474</v>
      </c>
      <c r="F85" s="64">
        <v>37.893043273713104</v>
      </c>
      <c r="G85" s="64">
        <v>2.6078054957224119</v>
      </c>
      <c r="H85" s="64">
        <v>4.6679215446107678</v>
      </c>
      <c r="I85" s="35">
        <v>32.833464877663772</v>
      </c>
      <c r="J85" s="35">
        <v>20.678768745067085</v>
      </c>
      <c r="K85" s="35">
        <v>0.31570639305445936</v>
      </c>
      <c r="L85" s="35">
        <v>40.094711917916335</v>
      </c>
      <c r="M85" s="35">
        <v>2.6835043409629047</v>
      </c>
      <c r="N85" s="35">
        <v>3.3149171270718232</v>
      </c>
    </row>
    <row r="86" spans="1:14" x14ac:dyDescent="0.25">
      <c r="A86" s="12" t="s">
        <v>51</v>
      </c>
      <c r="B86" s="21">
        <v>100</v>
      </c>
      <c r="C86" s="64">
        <v>29.235575078735206</v>
      </c>
      <c r="D86" s="64">
        <v>16.557735774485117</v>
      </c>
      <c r="E86" s="64">
        <v>0.41542113890354881</v>
      </c>
      <c r="F86" s="64">
        <v>49.438543421484439</v>
      </c>
      <c r="G86" s="64">
        <v>1.8095889948252759</v>
      </c>
      <c r="H86" s="64">
        <v>1.9914232509009497</v>
      </c>
      <c r="I86" s="35">
        <v>28.348504551365412</v>
      </c>
      <c r="J86" s="35">
        <v>16.329184469626604</v>
      </c>
      <c r="K86" s="35">
        <v>0.40869403678246335</v>
      </c>
      <c r="L86" s="35">
        <v>50.58517555266581</v>
      </c>
      <c r="M86" s="35">
        <v>1.7276611554895043</v>
      </c>
      <c r="N86" s="35">
        <v>1.8948541705368753</v>
      </c>
    </row>
    <row r="87" spans="1:14" x14ac:dyDescent="0.25">
      <c r="A87" s="12" t="s">
        <v>53</v>
      </c>
      <c r="B87" s="21">
        <v>100</v>
      </c>
      <c r="C87" s="64">
        <v>28.182019669937738</v>
      </c>
      <c r="D87" s="64">
        <v>15.181322739558798</v>
      </c>
      <c r="E87" s="64">
        <v>0.16956343752959344</v>
      </c>
      <c r="F87" s="64">
        <v>46.270566058442235</v>
      </c>
      <c r="G87" s="64">
        <v>2.8928005806685837</v>
      </c>
      <c r="H87" s="64">
        <v>6.6312537373544025</v>
      </c>
      <c r="I87" s="35">
        <v>27.542234332425071</v>
      </c>
      <c r="J87" s="35">
        <v>14.95367847411444</v>
      </c>
      <c r="K87" s="35">
        <v>0.18528610354223435</v>
      </c>
      <c r="L87" s="35">
        <v>47.313351498637608</v>
      </c>
      <c r="M87" s="35">
        <v>2.8337874659400542</v>
      </c>
      <c r="N87" s="35">
        <v>6.4959128065395095</v>
      </c>
    </row>
    <row r="88" spans="1:14" x14ac:dyDescent="0.25">
      <c r="A88" s="12" t="s">
        <v>54</v>
      </c>
      <c r="B88" s="21">
        <v>100</v>
      </c>
      <c r="C88" s="64">
        <v>26.940832097391151</v>
      </c>
      <c r="D88" s="64">
        <v>15.816937972989004</v>
      </c>
      <c r="E88" s="64">
        <v>0.2828497119884934</v>
      </c>
      <c r="F88" s="64">
        <v>49.313056083435207</v>
      </c>
      <c r="G88" s="64">
        <v>3.6851175963593574</v>
      </c>
      <c r="H88" s="64">
        <v>3.7594431464540108</v>
      </c>
      <c r="I88" s="35">
        <v>26.663068411820269</v>
      </c>
      <c r="J88" s="35">
        <v>15.800836594251786</v>
      </c>
      <c r="K88" s="35">
        <v>0.26986911347996217</v>
      </c>
      <c r="L88" s="35">
        <v>49.80434489272703</v>
      </c>
      <c r="M88" s="35">
        <v>3.7107003103494804</v>
      </c>
      <c r="N88" s="35">
        <v>3.5622722979355008</v>
      </c>
    </row>
    <row r="89" spans="1:14" x14ac:dyDescent="0.25">
      <c r="A89" s="12" t="s">
        <v>55</v>
      </c>
      <c r="B89" s="21">
        <v>100</v>
      </c>
      <c r="C89" s="64">
        <v>21.10398911394325</v>
      </c>
      <c r="D89" s="64">
        <v>15.521826515372194</v>
      </c>
      <c r="E89" s="64">
        <v>0.19649140508088001</v>
      </c>
      <c r="F89" s="64">
        <v>56.405036784858339</v>
      </c>
      <c r="G89" s="64">
        <v>1.1813528885918596</v>
      </c>
      <c r="H89" s="64">
        <v>5.3545432450368242</v>
      </c>
      <c r="I89" s="35">
        <v>21.084018022793533</v>
      </c>
      <c r="J89" s="35">
        <v>14.935064935064934</v>
      </c>
      <c r="K89" s="35">
        <v>0.21203286509408956</v>
      </c>
      <c r="L89" s="35">
        <v>57.407898224224752</v>
      </c>
      <c r="M89" s="35">
        <v>1.086668433607209</v>
      </c>
      <c r="N89" s="35">
        <v>5.0225284919162467</v>
      </c>
    </row>
    <row r="90" spans="1:14" x14ac:dyDescent="0.25">
      <c r="A90" s="12" t="s">
        <v>56</v>
      </c>
      <c r="B90" s="21">
        <v>100</v>
      </c>
      <c r="C90" s="64">
        <v>21.118079773034673</v>
      </c>
      <c r="D90" s="64">
        <v>14.607029311087265</v>
      </c>
      <c r="E90" s="64">
        <v>0.19656726189769363</v>
      </c>
      <c r="F90" s="64">
        <v>57.217706693775462</v>
      </c>
      <c r="G90" s="64">
        <v>2.7639871017752111</v>
      </c>
      <c r="H90" s="64">
        <v>3.0786337795743166</v>
      </c>
      <c r="I90" s="35">
        <v>20.554812834224599</v>
      </c>
      <c r="J90" s="35">
        <v>14.460784313725492</v>
      </c>
      <c r="K90" s="35">
        <v>0.18939393939393936</v>
      </c>
      <c r="L90" s="35">
        <v>58.322192513368989</v>
      </c>
      <c r="M90" s="35">
        <v>2.7963458110516934</v>
      </c>
      <c r="N90" s="35">
        <v>2.8297682709447414</v>
      </c>
    </row>
    <row r="91" spans="1:14" x14ac:dyDescent="0.25">
      <c r="A91" s="12" t="s">
        <v>57</v>
      </c>
      <c r="B91" s="21">
        <v>100</v>
      </c>
      <c r="C91" s="64">
        <v>30.688994751888014</v>
      </c>
      <c r="D91" s="64">
        <v>15.754749051386463</v>
      </c>
      <c r="E91" s="64">
        <v>0.27889437426148012</v>
      </c>
      <c r="F91" s="64">
        <v>44.815014547222994</v>
      </c>
      <c r="G91" s="64">
        <v>2.2793532696315788</v>
      </c>
      <c r="H91" s="64">
        <v>3.7866536269445206</v>
      </c>
      <c r="I91" s="35">
        <v>30.280373831775702</v>
      </c>
      <c r="J91" s="35">
        <v>15.659397715472483</v>
      </c>
      <c r="K91" s="35">
        <v>0.26998961578400832</v>
      </c>
      <c r="L91" s="35">
        <v>45.7</v>
      </c>
      <c r="M91" s="35">
        <v>2.4091381100726892</v>
      </c>
      <c r="N91" s="35">
        <v>3.2191069574247146</v>
      </c>
    </row>
    <row r="92" spans="1:14" x14ac:dyDescent="0.25">
      <c r="A92" s="12" t="s">
        <v>58</v>
      </c>
      <c r="B92" s="21">
        <v>100</v>
      </c>
      <c r="C92" s="64">
        <v>26.329307271964122</v>
      </c>
      <c r="D92" s="64">
        <v>14.649568962050681</v>
      </c>
      <c r="E92" s="64">
        <v>0.28377517594824431</v>
      </c>
      <c r="F92" s="64">
        <v>51.936113614044928</v>
      </c>
      <c r="G92" s="64">
        <v>2.5503625857777279</v>
      </c>
      <c r="H92" s="64">
        <v>2.1005369382638577</v>
      </c>
      <c r="I92" s="35">
        <v>26.254295532646051</v>
      </c>
      <c r="J92" s="35">
        <v>14.467353951890036</v>
      </c>
      <c r="K92" s="35">
        <v>0.27491408934707906</v>
      </c>
      <c r="L92" s="35">
        <v>52.474226804123703</v>
      </c>
      <c r="M92" s="35">
        <v>2.0618556701030926</v>
      </c>
      <c r="N92" s="35">
        <v>1.8556701030927836</v>
      </c>
    </row>
    <row r="93" spans="1:14" s="10" customFormat="1" ht="19.5" x14ac:dyDescent="0.25">
      <c r="A93" s="13" t="s">
        <v>68</v>
      </c>
      <c r="B93" s="20">
        <v>100</v>
      </c>
      <c r="C93" s="64">
        <v>33.260465970306292</v>
      </c>
      <c r="D93" s="64">
        <v>15.102268201649334</v>
      </c>
      <c r="E93" s="64">
        <v>0.19759700102715977</v>
      </c>
      <c r="F93" s="64">
        <v>43.324915043563486</v>
      </c>
      <c r="G93" s="64">
        <v>4.352421028294021</v>
      </c>
      <c r="H93" s="64">
        <v>3.538319283474348</v>
      </c>
      <c r="I93" s="35">
        <v>32.701290475813479</v>
      </c>
      <c r="J93" s="35">
        <v>14.899849576438919</v>
      </c>
      <c r="K93" s="35">
        <v>0.21771831208930409</v>
      </c>
      <c r="L93" s="35">
        <v>44.173066265537173</v>
      </c>
      <c r="M93" s="35">
        <v>4.4454120813870635</v>
      </c>
      <c r="N93" s="35">
        <v>3.3291109175837228</v>
      </c>
    </row>
    <row r="94" spans="1:14" s="10" customFormat="1" x14ac:dyDescent="0.25">
      <c r="A94" s="12" t="s">
        <v>48</v>
      </c>
      <c r="B94" s="21">
        <v>100</v>
      </c>
      <c r="C94" s="64">
        <v>37.783327473350745</v>
      </c>
      <c r="D94" s="64">
        <v>20.336824281893424</v>
      </c>
      <c r="E94" s="64">
        <v>0.45558008726663612</v>
      </c>
      <c r="F94" s="64">
        <v>34.237454694963866</v>
      </c>
      <c r="G94" s="64">
        <v>4.3167399420757437</v>
      </c>
      <c r="H94" s="64">
        <v>2.5279833083484764</v>
      </c>
      <c r="I94" s="35">
        <v>37.303149606299215</v>
      </c>
      <c r="J94" s="35">
        <v>20.423228346456693</v>
      </c>
      <c r="K94" s="35">
        <v>0.49212598425196852</v>
      </c>
      <c r="L94" s="35">
        <v>34.793307086614178</v>
      </c>
      <c r="M94" s="35">
        <v>4.4783464566929139</v>
      </c>
      <c r="N94" s="35">
        <v>2.1161417322834648</v>
      </c>
    </row>
    <row r="95" spans="1:14" x14ac:dyDescent="0.25">
      <c r="A95" s="12" t="s">
        <v>67</v>
      </c>
      <c r="B95" s="21">
        <v>100</v>
      </c>
      <c r="C95" s="64">
        <v>28.556863586206788</v>
      </c>
      <c r="D95" s="64">
        <v>19.680269532381736</v>
      </c>
      <c r="E95" s="64">
        <v>0.11801498514579259</v>
      </c>
      <c r="F95" s="64">
        <v>38.271317575221325</v>
      </c>
      <c r="G95" s="64">
        <v>10.282558317681254</v>
      </c>
      <c r="H95" s="64">
        <v>3.0820470119644363</v>
      </c>
      <c r="I95" s="35">
        <v>28.496406854615806</v>
      </c>
      <c r="J95" s="35">
        <v>19.707020453289108</v>
      </c>
      <c r="K95" s="35">
        <v>0.19347705914870092</v>
      </c>
      <c r="L95" s="35">
        <v>36.981757877280266</v>
      </c>
      <c r="M95" s="35">
        <v>10.5</v>
      </c>
      <c r="N95" s="35">
        <v>4.0077390823659478</v>
      </c>
    </row>
    <row r="96" spans="1:14" x14ac:dyDescent="0.25">
      <c r="A96" s="12" t="s">
        <v>52</v>
      </c>
      <c r="B96" s="21">
        <v>100</v>
      </c>
      <c r="C96" s="64">
        <v>42.606324319738924</v>
      </c>
      <c r="D96" s="64">
        <v>18.936880040367548</v>
      </c>
      <c r="E96" s="64">
        <v>0.22332496072647071</v>
      </c>
      <c r="F96" s="64">
        <v>29.986759123714528</v>
      </c>
      <c r="G96" s="64">
        <v>4.1950056802777098</v>
      </c>
      <c r="H96" s="64">
        <v>3.8566046289311142</v>
      </c>
      <c r="I96" s="35">
        <v>41.452344931921331</v>
      </c>
      <c r="J96" s="35">
        <v>18.399999999999999</v>
      </c>
      <c r="K96" s="35">
        <v>0.22692889561270801</v>
      </c>
      <c r="L96" s="35">
        <v>32.980332829046901</v>
      </c>
      <c r="M96" s="35">
        <v>4.160363086232981</v>
      </c>
      <c r="N96" s="35">
        <v>2.6096822995461428</v>
      </c>
    </row>
    <row r="97" spans="1:14" x14ac:dyDescent="0.25">
      <c r="A97" s="12" t="s">
        <v>59</v>
      </c>
      <c r="B97" s="21">
        <v>100</v>
      </c>
      <c r="C97" s="64">
        <v>37.761847655852399</v>
      </c>
      <c r="D97" s="64">
        <v>15.304684525362836</v>
      </c>
      <c r="E97" s="64">
        <v>0.14688123463005959</v>
      </c>
      <c r="F97" s="64">
        <v>43.933515151185134</v>
      </c>
      <c r="G97" s="64">
        <v>1.8648965745164869</v>
      </c>
      <c r="H97" s="64">
        <v>0.98565325623876643</v>
      </c>
      <c r="I97" s="35">
        <v>37.9</v>
      </c>
      <c r="J97" s="35">
        <v>15.378079864061172</v>
      </c>
      <c r="K97" s="35">
        <v>0.16992353440951571</v>
      </c>
      <c r="L97" s="35">
        <v>43.840271877655056</v>
      </c>
      <c r="M97" s="35">
        <v>1.8691588785046731</v>
      </c>
      <c r="N97" s="35">
        <v>0.84961767204757865</v>
      </c>
    </row>
    <row r="98" spans="1:14" x14ac:dyDescent="0.25">
      <c r="A98" s="12" t="s">
        <v>60</v>
      </c>
      <c r="B98" s="21">
        <v>100</v>
      </c>
      <c r="C98" s="64">
        <v>31.956918908750364</v>
      </c>
      <c r="D98" s="64">
        <v>10.349508518665026</v>
      </c>
      <c r="E98" s="64">
        <v>0.19218800100831679</v>
      </c>
      <c r="F98" s="64">
        <v>52.136070573988022</v>
      </c>
      <c r="G98" s="64">
        <v>2.3680824828569151</v>
      </c>
      <c r="H98" s="64">
        <v>2.958582660686599</v>
      </c>
      <c r="I98" s="35">
        <v>31.686100314640015</v>
      </c>
      <c r="J98" s="35">
        <v>10.364612252452341</v>
      </c>
      <c r="K98" s="35">
        <v>0.20359059781602817</v>
      </c>
      <c r="L98" s="35">
        <v>52.655931889690919</v>
      </c>
      <c r="M98" s="35">
        <v>2.4430871737923376</v>
      </c>
      <c r="N98" s="35">
        <v>2.6096612992781787</v>
      </c>
    </row>
    <row r="99" spans="1:14" x14ac:dyDescent="0.25">
      <c r="A99" s="12" t="s">
        <v>61</v>
      </c>
      <c r="B99" s="21">
        <v>100</v>
      </c>
      <c r="C99" s="64">
        <v>31.56682291206636</v>
      </c>
      <c r="D99" s="64">
        <v>12.351738615016682</v>
      </c>
      <c r="E99" s="64">
        <v>0.18633936239107465</v>
      </c>
      <c r="F99" s="64">
        <v>47.624107702951221</v>
      </c>
      <c r="G99" s="64">
        <v>4.7905667530861313</v>
      </c>
      <c r="H99" s="64">
        <v>3.4403362203368091</v>
      </c>
      <c r="I99" s="35">
        <v>30.64406779661017</v>
      </c>
      <c r="J99" s="35">
        <v>12.022598870056497</v>
      </c>
      <c r="K99" s="35">
        <v>0.20338983050847459</v>
      </c>
      <c r="L99" s="35">
        <v>49.355932203389827</v>
      </c>
      <c r="M99" s="35">
        <v>4.9039548022598867</v>
      </c>
      <c r="N99" s="35">
        <v>2.8248587570621471</v>
      </c>
    </row>
    <row r="100" spans="1:14" x14ac:dyDescent="0.25">
      <c r="A100" s="12" t="s">
        <v>62</v>
      </c>
      <c r="B100" s="21">
        <v>100</v>
      </c>
      <c r="C100" s="64">
        <v>30.232181286673427</v>
      </c>
      <c r="D100" s="64">
        <v>12.027889648974991</v>
      </c>
      <c r="E100" s="64">
        <v>0.19416504162862225</v>
      </c>
      <c r="F100" s="64">
        <v>48.067254131771861</v>
      </c>
      <c r="G100" s="64">
        <v>2.3326483193052656</v>
      </c>
      <c r="H100" s="64">
        <v>6.0579395976502441</v>
      </c>
      <c r="I100" s="35">
        <v>28.877588085724664</v>
      </c>
      <c r="J100" s="35">
        <v>11.369415183436251</v>
      </c>
      <c r="K100" s="35">
        <v>0.18162005085361421</v>
      </c>
      <c r="L100" s="35">
        <v>49.473301852524514</v>
      </c>
      <c r="M100" s="35">
        <v>2.4700326916091533</v>
      </c>
      <c r="N100" s="35">
        <v>6.5746458409008364</v>
      </c>
    </row>
    <row r="101" spans="1:14" x14ac:dyDescent="0.25">
      <c r="A101" s="12" t="s">
        <v>63</v>
      </c>
      <c r="B101" s="21">
        <v>100</v>
      </c>
      <c r="C101" s="64">
        <v>30.66919265775989</v>
      </c>
      <c r="D101" s="64">
        <v>14.650670347925782</v>
      </c>
      <c r="E101" s="64">
        <v>0.11200250356816958</v>
      </c>
      <c r="F101" s="64">
        <v>44.453455859987365</v>
      </c>
      <c r="G101" s="64">
        <v>4.5648880413673698</v>
      </c>
      <c r="H101" s="64">
        <v>5.5497759657455719</v>
      </c>
      <c r="I101" s="35">
        <v>31.4</v>
      </c>
      <c r="J101" s="35">
        <v>14.759036144578314</v>
      </c>
      <c r="K101" s="35">
        <v>0.1</v>
      </c>
      <c r="L101" s="35">
        <v>43.3</v>
      </c>
      <c r="M101" s="35">
        <v>4.5180722891566258</v>
      </c>
      <c r="N101" s="35">
        <v>5.8</v>
      </c>
    </row>
    <row r="102" spans="1:14" x14ac:dyDescent="0.25">
      <c r="A102" s="12" t="s">
        <v>64</v>
      </c>
      <c r="B102" s="21">
        <v>100</v>
      </c>
      <c r="C102" s="64">
        <v>30.859329942103098</v>
      </c>
      <c r="D102" s="64">
        <v>18.855026828063441</v>
      </c>
      <c r="E102" s="64">
        <v>0.14797716434574568</v>
      </c>
      <c r="F102" s="64">
        <v>43.434529900046549</v>
      </c>
      <c r="G102" s="64">
        <v>2.8119173255105805</v>
      </c>
      <c r="H102" s="64">
        <v>3.8912188399305889</v>
      </c>
      <c r="I102" s="35">
        <v>30.587589236683144</v>
      </c>
      <c r="J102" s="35">
        <v>18.780889621087315</v>
      </c>
      <c r="K102" s="35">
        <v>0.10982976386600769</v>
      </c>
      <c r="L102" s="35">
        <v>44.700713893465135</v>
      </c>
      <c r="M102" s="35">
        <v>2.8</v>
      </c>
      <c r="N102" s="35">
        <v>3.0752333882482152</v>
      </c>
    </row>
    <row r="103" spans="1:14" ht="20.25" x14ac:dyDescent="0.25">
      <c r="A103" s="12" t="s">
        <v>65</v>
      </c>
      <c r="B103" s="21">
        <v>100</v>
      </c>
      <c r="C103" s="64">
        <v>50.630000769515696</v>
      </c>
      <c r="D103" s="64">
        <v>16.579722939708322</v>
      </c>
      <c r="E103" s="64">
        <v>0.27831230114143179</v>
      </c>
      <c r="F103" s="64">
        <v>22.574943034806605</v>
      </c>
      <c r="G103" s="64">
        <v>3.4181095498382654</v>
      </c>
      <c r="H103" s="64">
        <v>6.5188866617196624</v>
      </c>
      <c r="I103" s="36">
        <v>49.7</v>
      </c>
      <c r="J103" s="36">
        <v>15.970515970515969</v>
      </c>
      <c r="K103" s="36">
        <v>0.3</v>
      </c>
      <c r="L103" s="36">
        <v>24.078624078624077</v>
      </c>
      <c r="M103" s="36">
        <v>3.5</v>
      </c>
      <c r="N103" s="36">
        <v>6.3</v>
      </c>
    </row>
    <row r="104" spans="1:14" ht="14.25" customHeight="1" thickBot="1" x14ac:dyDescent="0.3">
      <c r="A104" s="16" t="s">
        <v>66</v>
      </c>
      <c r="B104" s="23">
        <v>100</v>
      </c>
      <c r="C104" s="65">
        <v>32.058853601975422</v>
      </c>
      <c r="D104" s="65">
        <v>20.165077813671203</v>
      </c>
      <c r="E104" s="65">
        <v>6.1968696824765787E-2</v>
      </c>
      <c r="F104" s="65">
        <v>40.025734812524277</v>
      </c>
      <c r="G104" s="65">
        <v>1.9240022696811045</v>
      </c>
      <c r="H104" s="65">
        <v>2.1184996976698529</v>
      </c>
      <c r="I104" s="37">
        <v>31.2</v>
      </c>
      <c r="J104" s="37">
        <v>18.8</v>
      </c>
      <c r="K104" s="37">
        <v>0.1</v>
      </c>
      <c r="L104" s="37">
        <v>42.452830188679243</v>
      </c>
      <c r="M104" s="37">
        <v>1.8</v>
      </c>
      <c r="N104" s="37">
        <v>1.8867924528301887</v>
      </c>
    </row>
  </sheetData>
  <customSheetViews>
    <customSheetView guid="{8022249A-38EC-4E73-9E7D-189E61894E59}" scale="140">
      <pane ySplit="4" topLeftCell="A5" activePane="bottomLeft" state="frozen"/>
      <selection pane="bottomLeft" activeCell="G96" sqref="G96"/>
      <pageMargins left="0.7" right="0.7" top="0.75" bottom="0.75" header="0.3" footer="0.3"/>
      <pageSetup paperSize="9" orientation="portrait" r:id="rId1"/>
    </customSheetView>
    <customSheetView guid="{F3F4C7FF-8EBE-4D52-9E48-0CCB4CC80F2C}" scale="140">
      <pane ySplit="4" topLeftCell="A89" activePane="bottomLeft" state="frozen"/>
      <selection pane="bottomLeft" activeCell="A5" sqref="A5:A100"/>
      <pageMargins left="0.7" right="0.7" top="0.75" bottom="0.75" header="0.3" footer="0.3"/>
      <pageSetup paperSize="9" orientation="portrait" r:id="rId2"/>
    </customSheetView>
    <customSheetView guid="{5DBE6FD9-68D5-4F02-A25A-52A2FB41D9C1}" scale="140">
      <pane ySplit="4" topLeftCell="A89" activePane="bottomLeft" state="frozen"/>
      <selection pane="bottomLeft" activeCell="A5" sqref="A5:A100"/>
      <pageMargins left="0.7" right="0.7" top="0.75" bottom="0.75" header="0.3" footer="0.3"/>
      <pageSetup paperSize="9" orientation="portrait" r:id="rId3"/>
    </customSheetView>
  </customSheetViews>
  <mergeCells count="8">
    <mergeCell ref="I4:N4"/>
    <mergeCell ref="I5:N5"/>
    <mergeCell ref="A2:N2"/>
    <mergeCell ref="A3:N3"/>
    <mergeCell ref="C5:H5"/>
    <mergeCell ref="C4:H4"/>
    <mergeCell ref="B4:B6"/>
    <mergeCell ref="A4:A6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scale="84" fitToHeight="0" orientation="landscape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zoomScale="110" zoomScaleNormal="110" workbookViewId="0">
      <pane ySplit="5" topLeftCell="A6" activePane="bottomLeft" state="frozen"/>
      <selection activeCell="E99" sqref="E99"/>
      <selection pane="bottomLeft"/>
    </sheetView>
  </sheetViews>
  <sheetFormatPr defaultRowHeight="15" x14ac:dyDescent="0.25"/>
  <cols>
    <col min="1" max="1" width="31.42578125" style="2" customWidth="1"/>
    <col min="2" max="16384" width="9.140625" style="2"/>
  </cols>
  <sheetData>
    <row r="1" spans="1:6" ht="23.25" x14ac:dyDescent="0.6">
      <c r="A1" s="24" t="s">
        <v>115</v>
      </c>
    </row>
    <row r="2" spans="1:6" ht="22.5" customHeight="1" x14ac:dyDescent="0.25">
      <c r="A2" s="61" t="s">
        <v>118</v>
      </c>
      <c r="B2" s="61"/>
      <c r="C2" s="61"/>
      <c r="D2" s="61"/>
      <c r="E2" s="61"/>
      <c r="F2" s="18"/>
    </row>
    <row r="3" spans="1:6" ht="15.75" thickBot="1" x14ac:dyDescent="0.3">
      <c r="A3" s="50" t="s">
        <v>101</v>
      </c>
      <c r="B3" s="50"/>
      <c r="C3" s="50"/>
      <c r="D3" s="50"/>
      <c r="E3" s="50"/>
    </row>
    <row r="4" spans="1:6" ht="20.25" customHeight="1" thickBot="1" x14ac:dyDescent="0.3">
      <c r="A4" s="53"/>
      <c r="B4" s="62" t="s">
        <v>134</v>
      </c>
      <c r="C4" s="62"/>
      <c r="D4" s="62" t="s">
        <v>102</v>
      </c>
      <c r="E4" s="62"/>
    </row>
    <row r="5" spans="1:6" ht="15.75" thickBot="1" x14ac:dyDescent="0.3">
      <c r="A5" s="53"/>
      <c r="B5" s="32">
        <v>2022</v>
      </c>
      <c r="C5" s="32">
        <v>2023</v>
      </c>
      <c r="D5" s="32">
        <v>2022</v>
      </c>
      <c r="E5" s="32">
        <v>2023</v>
      </c>
    </row>
    <row r="6" spans="1:6" s="10" customFormat="1" x14ac:dyDescent="0.25">
      <c r="A6" s="9" t="s">
        <v>0</v>
      </c>
      <c r="B6" s="33">
        <v>100.7</v>
      </c>
      <c r="C6" s="33">
        <v>101.5</v>
      </c>
      <c r="D6" s="33">
        <v>97.1</v>
      </c>
      <c r="E6" s="42">
        <v>102.4</v>
      </c>
    </row>
    <row r="7" spans="1:6" s="10" customFormat="1" x14ac:dyDescent="0.25">
      <c r="A7" s="11" t="s">
        <v>89</v>
      </c>
      <c r="B7" s="3"/>
      <c r="C7" s="3"/>
      <c r="D7" s="3"/>
      <c r="E7" s="3"/>
    </row>
    <row r="8" spans="1:6" x14ac:dyDescent="0.25">
      <c r="A8" s="12" t="s">
        <v>2</v>
      </c>
      <c r="B8" s="3">
        <v>102.5</v>
      </c>
      <c r="C8" s="3">
        <v>98.3</v>
      </c>
      <c r="D8" s="3">
        <v>96.7</v>
      </c>
      <c r="E8" s="3">
        <v>105.3</v>
      </c>
    </row>
    <row r="9" spans="1:6" x14ac:dyDescent="0.25">
      <c r="A9" s="12" t="s">
        <v>1</v>
      </c>
      <c r="B9" s="3">
        <v>99.1</v>
      </c>
      <c r="C9" s="3">
        <v>100.1</v>
      </c>
      <c r="D9" s="3">
        <v>101.9</v>
      </c>
      <c r="E9" s="3">
        <v>104.9</v>
      </c>
    </row>
    <row r="10" spans="1:6" x14ac:dyDescent="0.25">
      <c r="A10" s="12" t="s">
        <v>3</v>
      </c>
      <c r="B10" s="3">
        <v>103.1</v>
      </c>
      <c r="C10" s="3">
        <v>96.8</v>
      </c>
      <c r="D10" s="3">
        <v>90</v>
      </c>
      <c r="E10" s="3">
        <v>110.1</v>
      </c>
    </row>
    <row r="11" spans="1:6" x14ac:dyDescent="0.25">
      <c r="A11" s="12" t="s">
        <v>4</v>
      </c>
      <c r="B11" s="3">
        <v>102.1</v>
      </c>
      <c r="C11" s="3">
        <v>100.3</v>
      </c>
      <c r="D11" s="3">
        <v>94.6</v>
      </c>
      <c r="E11" s="3">
        <v>105.3</v>
      </c>
    </row>
    <row r="12" spans="1:6" x14ac:dyDescent="0.25">
      <c r="A12" s="12" t="s">
        <v>5</v>
      </c>
      <c r="B12" s="3">
        <v>100.9</v>
      </c>
      <c r="C12" s="3">
        <v>98.9</v>
      </c>
      <c r="D12" s="3">
        <v>99.5</v>
      </c>
      <c r="E12" s="3">
        <v>109.1</v>
      </c>
    </row>
    <row r="13" spans="1:6" x14ac:dyDescent="0.25">
      <c r="A13" s="12" t="s">
        <v>6</v>
      </c>
      <c r="B13" s="3">
        <v>98.4</v>
      </c>
      <c r="C13" s="3">
        <v>100.6</v>
      </c>
      <c r="D13" s="3">
        <v>89.4</v>
      </c>
      <c r="E13" s="3">
        <v>106.7</v>
      </c>
    </row>
    <row r="14" spans="1:6" x14ac:dyDescent="0.25">
      <c r="A14" s="12" t="s">
        <v>7</v>
      </c>
      <c r="B14" s="3">
        <v>100.8</v>
      </c>
      <c r="C14" s="3">
        <v>100.8</v>
      </c>
      <c r="D14" s="3">
        <v>97.1</v>
      </c>
      <c r="E14" s="3">
        <v>104.8</v>
      </c>
    </row>
    <row r="15" spans="1:6" x14ac:dyDescent="0.25">
      <c r="A15" s="12" t="s">
        <v>8</v>
      </c>
      <c r="B15" s="3">
        <v>101.2</v>
      </c>
      <c r="C15" s="3">
        <v>98.7</v>
      </c>
      <c r="D15" s="3">
        <v>92.8</v>
      </c>
      <c r="E15" s="3">
        <v>107</v>
      </c>
    </row>
    <row r="16" spans="1:6" x14ac:dyDescent="0.25">
      <c r="A16" s="12" t="s">
        <v>9</v>
      </c>
      <c r="B16" s="3">
        <v>97.8</v>
      </c>
      <c r="C16" s="3">
        <v>100.2</v>
      </c>
      <c r="D16" s="3">
        <v>93.3</v>
      </c>
      <c r="E16" s="3">
        <v>115.5</v>
      </c>
    </row>
    <row r="17" spans="1:5" x14ac:dyDescent="0.25">
      <c r="A17" s="12" t="s">
        <v>10</v>
      </c>
      <c r="B17" s="3">
        <v>99.6</v>
      </c>
      <c r="C17" s="3">
        <v>106.6</v>
      </c>
      <c r="D17" s="3">
        <v>96.5</v>
      </c>
      <c r="E17" s="3">
        <v>102</v>
      </c>
    </row>
    <row r="18" spans="1:5" x14ac:dyDescent="0.25">
      <c r="A18" s="12" t="s">
        <v>11</v>
      </c>
      <c r="B18" s="3">
        <v>100.3</v>
      </c>
      <c r="C18" s="3">
        <v>102</v>
      </c>
      <c r="D18" s="3">
        <v>96.2</v>
      </c>
      <c r="E18" s="3">
        <v>104.5</v>
      </c>
    </row>
    <row r="19" spans="1:5" x14ac:dyDescent="0.25">
      <c r="A19" s="12" t="s">
        <v>12</v>
      </c>
      <c r="B19" s="3">
        <v>101</v>
      </c>
      <c r="C19" s="3">
        <v>97.9</v>
      </c>
      <c r="D19" s="3">
        <v>101.1</v>
      </c>
      <c r="E19" s="3">
        <v>108.1</v>
      </c>
    </row>
    <row r="20" spans="1:5" x14ac:dyDescent="0.25">
      <c r="A20" s="12" t="s">
        <v>13</v>
      </c>
      <c r="B20" s="3">
        <v>103.7</v>
      </c>
      <c r="C20" s="3">
        <v>98.9</v>
      </c>
      <c r="D20" s="3">
        <v>96.8</v>
      </c>
      <c r="E20" s="3">
        <v>108.7</v>
      </c>
    </row>
    <row r="21" spans="1:5" x14ac:dyDescent="0.25">
      <c r="A21" s="12" t="s">
        <v>14</v>
      </c>
      <c r="B21" s="3">
        <v>101.5</v>
      </c>
      <c r="C21" s="3">
        <v>98.8</v>
      </c>
      <c r="D21" s="3">
        <v>96.3</v>
      </c>
      <c r="E21" s="3">
        <v>110.6</v>
      </c>
    </row>
    <row r="22" spans="1:5" x14ac:dyDescent="0.25">
      <c r="A22" s="12" t="s">
        <v>15</v>
      </c>
      <c r="B22" s="3">
        <v>100.7</v>
      </c>
      <c r="C22" s="3">
        <v>100.1</v>
      </c>
      <c r="D22" s="3">
        <v>97</v>
      </c>
      <c r="E22" s="3">
        <v>111.4</v>
      </c>
    </row>
    <row r="23" spans="1:5" x14ac:dyDescent="0.25">
      <c r="A23" s="12" t="s">
        <v>16</v>
      </c>
      <c r="B23" s="3">
        <v>100.1</v>
      </c>
      <c r="C23" s="3">
        <v>98.1</v>
      </c>
      <c r="D23" s="3">
        <v>104.2</v>
      </c>
      <c r="E23" s="3">
        <v>111.4</v>
      </c>
    </row>
    <row r="24" spans="1:5" x14ac:dyDescent="0.25">
      <c r="A24" s="12" t="s">
        <v>17</v>
      </c>
      <c r="B24" s="3">
        <v>98.4</v>
      </c>
      <c r="C24" s="3">
        <v>101.8</v>
      </c>
      <c r="D24" s="3">
        <v>98.5</v>
      </c>
      <c r="E24" s="3">
        <v>103.9</v>
      </c>
    </row>
    <row r="25" spans="1:5" x14ac:dyDescent="0.25">
      <c r="A25" s="12" t="s">
        <v>18</v>
      </c>
      <c r="B25" s="3">
        <v>98.2</v>
      </c>
      <c r="C25" s="3">
        <v>101.6</v>
      </c>
      <c r="D25" s="3">
        <v>101.3</v>
      </c>
      <c r="E25" s="3">
        <v>106.3</v>
      </c>
    </row>
    <row r="26" spans="1:5" s="10" customFormat="1" x14ac:dyDescent="0.25">
      <c r="A26" s="11" t="s">
        <v>81</v>
      </c>
      <c r="B26" s="3"/>
      <c r="C26" s="3"/>
      <c r="D26" s="3"/>
      <c r="E26" s="3"/>
    </row>
    <row r="27" spans="1:5" x14ac:dyDescent="0.25">
      <c r="A27" s="12" t="s">
        <v>19</v>
      </c>
      <c r="B27" s="3">
        <v>99.2</v>
      </c>
      <c r="C27" s="3">
        <v>100.2</v>
      </c>
      <c r="D27" s="3">
        <v>90.6</v>
      </c>
      <c r="E27" s="3">
        <v>103.2</v>
      </c>
    </row>
    <row r="28" spans="1:5" x14ac:dyDescent="0.25">
      <c r="A28" s="12" t="s">
        <v>20</v>
      </c>
      <c r="B28" s="3">
        <v>97.6</v>
      </c>
      <c r="C28" s="3">
        <v>98.2</v>
      </c>
      <c r="D28" s="3">
        <v>102.1</v>
      </c>
      <c r="E28" s="3">
        <v>102.6</v>
      </c>
    </row>
    <row r="29" spans="1:5" x14ac:dyDescent="0.25">
      <c r="A29" s="12" t="s">
        <v>83</v>
      </c>
      <c r="B29" s="3">
        <v>100.2</v>
      </c>
      <c r="C29" s="3">
        <v>97.3</v>
      </c>
      <c r="D29" s="3">
        <v>102.1</v>
      </c>
      <c r="E29" s="3">
        <v>101.9</v>
      </c>
    </row>
    <row r="30" spans="1:5" x14ac:dyDescent="0.25">
      <c r="A30" s="14" t="s">
        <v>106</v>
      </c>
      <c r="B30" s="3"/>
      <c r="C30" s="3"/>
      <c r="D30" s="3"/>
      <c r="E30" s="3"/>
    </row>
    <row r="31" spans="1:5" x14ac:dyDescent="0.25">
      <c r="A31" s="15" t="s">
        <v>103</v>
      </c>
      <c r="B31" s="3">
        <v>101.8</v>
      </c>
      <c r="C31" s="3">
        <v>99.8</v>
      </c>
      <c r="D31" s="3">
        <v>107.9</v>
      </c>
      <c r="E31" s="3">
        <v>94.3</v>
      </c>
    </row>
    <row r="32" spans="1:5" ht="20.25" x14ac:dyDescent="0.25">
      <c r="A32" s="15" t="s">
        <v>104</v>
      </c>
      <c r="B32" s="3">
        <v>100.1</v>
      </c>
      <c r="C32" s="3">
        <v>97.1</v>
      </c>
      <c r="D32" s="3">
        <v>96</v>
      </c>
      <c r="E32" s="3">
        <v>103.8</v>
      </c>
    </row>
    <row r="33" spans="1:5" x14ac:dyDescent="0.25">
      <c r="A33" s="12" t="s">
        <v>21</v>
      </c>
      <c r="B33" s="3">
        <v>100.3</v>
      </c>
      <c r="C33" s="3">
        <v>97</v>
      </c>
      <c r="D33" s="3">
        <v>95.1</v>
      </c>
      <c r="E33" s="3">
        <v>106.2</v>
      </c>
    </row>
    <row r="34" spans="1:5" x14ac:dyDescent="0.25">
      <c r="A34" s="12" t="s">
        <v>69</v>
      </c>
      <c r="B34" s="3">
        <v>103.5</v>
      </c>
      <c r="C34" s="3">
        <v>102.5</v>
      </c>
      <c r="D34" s="3">
        <v>91.5</v>
      </c>
      <c r="E34" s="3">
        <v>101.7</v>
      </c>
    </row>
    <row r="35" spans="1:5" x14ac:dyDescent="0.25">
      <c r="A35" s="12" t="s">
        <v>70</v>
      </c>
      <c r="B35" s="3">
        <v>107.6</v>
      </c>
      <c r="C35" s="3">
        <v>96.6</v>
      </c>
      <c r="D35" s="3">
        <v>93.8</v>
      </c>
      <c r="E35" s="3">
        <v>112.3</v>
      </c>
    </row>
    <row r="36" spans="1:5" x14ac:dyDescent="0.25">
      <c r="A36" s="12" t="s">
        <v>22</v>
      </c>
      <c r="B36" s="3">
        <v>93.7</v>
      </c>
      <c r="C36" s="3">
        <v>99.9</v>
      </c>
      <c r="D36" s="3">
        <v>97.1</v>
      </c>
      <c r="E36" s="3">
        <v>92.9</v>
      </c>
    </row>
    <row r="37" spans="1:5" x14ac:dyDescent="0.25">
      <c r="A37" s="12" t="s">
        <v>71</v>
      </c>
      <c r="B37" s="3">
        <v>101.1</v>
      </c>
      <c r="C37" s="3">
        <v>101.5</v>
      </c>
      <c r="D37" s="3">
        <v>98.1</v>
      </c>
      <c r="E37" s="3">
        <v>101.9</v>
      </c>
    </row>
    <row r="38" spans="1:5" x14ac:dyDescent="0.25">
      <c r="A38" s="12" t="s">
        <v>23</v>
      </c>
      <c r="B38" s="3">
        <v>99.4</v>
      </c>
      <c r="C38" s="3">
        <v>103.4</v>
      </c>
      <c r="D38" s="3">
        <v>99.9</v>
      </c>
      <c r="E38" s="3">
        <v>101.5</v>
      </c>
    </row>
    <row r="39" spans="1:5" x14ac:dyDescent="0.25">
      <c r="A39" s="12" t="s">
        <v>24</v>
      </c>
      <c r="B39" s="3">
        <v>101.1</v>
      </c>
      <c r="C39" s="3">
        <v>102.7</v>
      </c>
      <c r="D39" s="3">
        <v>97.2</v>
      </c>
      <c r="E39" s="3">
        <v>94.9</v>
      </c>
    </row>
    <row r="40" spans="1:5" s="10" customFormat="1" x14ac:dyDescent="0.25">
      <c r="A40" s="11" t="s">
        <v>72</v>
      </c>
      <c r="B40" s="3"/>
      <c r="C40" s="3"/>
      <c r="D40" s="3"/>
      <c r="E40" s="3"/>
    </row>
    <row r="41" spans="1:5" x14ac:dyDescent="0.25">
      <c r="A41" s="12" t="s">
        <v>25</v>
      </c>
      <c r="B41" s="3">
        <v>100.7</v>
      </c>
      <c r="C41" s="3">
        <v>96.3</v>
      </c>
      <c r="D41" s="3">
        <v>104.7</v>
      </c>
      <c r="E41" s="3">
        <v>112.3</v>
      </c>
    </row>
    <row r="42" spans="1:5" x14ac:dyDescent="0.25">
      <c r="A42" s="12" t="s">
        <v>26</v>
      </c>
      <c r="B42" s="3">
        <v>105.1</v>
      </c>
      <c r="C42" s="3">
        <v>100.3</v>
      </c>
      <c r="D42" s="3">
        <v>104.1</v>
      </c>
      <c r="E42" s="3">
        <v>127.7</v>
      </c>
    </row>
    <row r="43" spans="1:5" x14ac:dyDescent="0.25">
      <c r="A43" s="1" t="s">
        <v>107</v>
      </c>
      <c r="B43" s="3">
        <v>100.5</v>
      </c>
      <c r="C43" s="3">
        <v>104</v>
      </c>
      <c r="D43" s="3">
        <v>97</v>
      </c>
      <c r="E43" s="3">
        <v>98.3</v>
      </c>
    </row>
    <row r="44" spans="1:5" x14ac:dyDescent="0.25">
      <c r="A44" s="12" t="s">
        <v>27</v>
      </c>
      <c r="B44" s="3">
        <v>101.9</v>
      </c>
      <c r="C44" s="3">
        <v>103.5</v>
      </c>
      <c r="D44" s="3">
        <v>102.6</v>
      </c>
      <c r="E44" s="3">
        <v>103.8</v>
      </c>
    </row>
    <row r="45" spans="1:5" x14ac:dyDescent="0.25">
      <c r="A45" s="12" t="s">
        <v>28</v>
      </c>
      <c r="B45" s="3">
        <v>102.5</v>
      </c>
      <c r="C45" s="3">
        <v>101.4</v>
      </c>
      <c r="D45" s="3">
        <v>97.6</v>
      </c>
      <c r="E45" s="3">
        <v>102</v>
      </c>
    </row>
    <row r="46" spans="1:5" x14ac:dyDescent="0.25">
      <c r="A46" s="12" t="s">
        <v>73</v>
      </c>
      <c r="B46" s="3">
        <v>102.8</v>
      </c>
      <c r="C46" s="3">
        <v>100.8</v>
      </c>
      <c r="D46" s="3">
        <v>103.1</v>
      </c>
      <c r="E46" s="3">
        <v>108</v>
      </c>
    </row>
    <row r="47" spans="1:5" x14ac:dyDescent="0.25">
      <c r="A47" s="12" t="s">
        <v>29</v>
      </c>
      <c r="B47" s="3">
        <v>102.3</v>
      </c>
      <c r="C47" s="3">
        <v>103</v>
      </c>
      <c r="D47" s="3">
        <v>101.5</v>
      </c>
      <c r="E47" s="3">
        <v>102.9</v>
      </c>
    </row>
    <row r="48" spans="1:5" x14ac:dyDescent="0.25">
      <c r="A48" s="1" t="s">
        <v>109</v>
      </c>
      <c r="B48" s="3">
        <v>105.9</v>
      </c>
      <c r="C48" s="3">
        <v>102.7</v>
      </c>
      <c r="D48" s="3">
        <v>98.8</v>
      </c>
      <c r="E48" s="3">
        <v>101.8</v>
      </c>
    </row>
    <row r="49" spans="1:5" s="10" customFormat="1" x14ac:dyDescent="0.25">
      <c r="A49" s="11" t="s">
        <v>91</v>
      </c>
      <c r="B49" s="3"/>
      <c r="C49" s="3"/>
      <c r="D49" s="3"/>
      <c r="E49" s="3"/>
    </row>
    <row r="50" spans="1:5" x14ac:dyDescent="0.25">
      <c r="A50" s="12" t="s">
        <v>30</v>
      </c>
      <c r="B50" s="3">
        <v>109.9</v>
      </c>
      <c r="C50" s="3">
        <v>105.7</v>
      </c>
      <c r="D50" s="3">
        <v>93.7</v>
      </c>
      <c r="E50" s="3">
        <v>99.9</v>
      </c>
    </row>
    <row r="51" spans="1:5" x14ac:dyDescent="0.25">
      <c r="A51" s="12" t="s">
        <v>74</v>
      </c>
      <c r="B51" s="3">
        <v>108.1</v>
      </c>
      <c r="C51" s="3">
        <v>103.8</v>
      </c>
      <c r="D51" s="3">
        <v>96.9</v>
      </c>
      <c r="E51" s="3">
        <v>101.3</v>
      </c>
    </row>
    <row r="52" spans="1:5" x14ac:dyDescent="0.25">
      <c r="A52" s="12" t="s">
        <v>86</v>
      </c>
      <c r="B52" s="3">
        <v>103.7</v>
      </c>
      <c r="C52" s="3">
        <v>98.5</v>
      </c>
      <c r="D52" s="3">
        <v>103.8</v>
      </c>
      <c r="E52" s="3">
        <v>111.4</v>
      </c>
    </row>
    <row r="53" spans="1:5" x14ac:dyDescent="0.25">
      <c r="A53" s="12" t="s">
        <v>75</v>
      </c>
      <c r="B53" s="3">
        <v>105.8</v>
      </c>
      <c r="C53" s="3">
        <v>104.4</v>
      </c>
      <c r="D53" s="3">
        <v>97.3</v>
      </c>
      <c r="E53" s="3">
        <v>103.4</v>
      </c>
    </row>
    <row r="54" spans="1:5" x14ac:dyDescent="0.25">
      <c r="A54" s="12" t="s">
        <v>92</v>
      </c>
      <c r="B54" s="3">
        <v>105.7</v>
      </c>
      <c r="C54" s="3">
        <v>101.3</v>
      </c>
      <c r="D54" s="3">
        <v>98.3</v>
      </c>
      <c r="E54" s="3">
        <v>101.8</v>
      </c>
    </row>
    <row r="55" spans="1:5" x14ac:dyDescent="0.25">
      <c r="A55" s="12" t="s">
        <v>87</v>
      </c>
      <c r="B55" s="3">
        <v>106.8</v>
      </c>
      <c r="C55" s="3">
        <v>100.2</v>
      </c>
      <c r="D55" s="3">
        <v>98.2</v>
      </c>
      <c r="E55" s="3">
        <v>117.2</v>
      </c>
    </row>
    <row r="56" spans="1:5" x14ac:dyDescent="0.25">
      <c r="A56" s="12" t="s">
        <v>31</v>
      </c>
      <c r="B56" s="3">
        <v>102.1</v>
      </c>
      <c r="C56" s="3">
        <v>99.2</v>
      </c>
      <c r="D56" s="3">
        <v>101.1</v>
      </c>
      <c r="E56" s="3">
        <v>107.6</v>
      </c>
    </row>
    <row r="57" spans="1:5" s="10" customFormat="1" x14ac:dyDescent="0.25">
      <c r="A57" s="11" t="s">
        <v>82</v>
      </c>
      <c r="B57" s="3"/>
      <c r="C57" s="3"/>
      <c r="D57" s="3"/>
      <c r="E57" s="3"/>
    </row>
    <row r="58" spans="1:5" x14ac:dyDescent="0.25">
      <c r="A58" s="12" t="s">
        <v>76</v>
      </c>
      <c r="B58" s="3">
        <v>102</v>
      </c>
      <c r="C58" s="3">
        <v>100.3</v>
      </c>
      <c r="D58" s="3">
        <v>97.9</v>
      </c>
      <c r="E58" s="3">
        <v>105.4</v>
      </c>
    </row>
    <row r="59" spans="1:5" x14ac:dyDescent="0.25">
      <c r="A59" s="12" t="s">
        <v>32</v>
      </c>
      <c r="B59" s="3">
        <v>99</v>
      </c>
      <c r="C59" s="3">
        <v>102.5</v>
      </c>
      <c r="D59" s="3">
        <v>100.9</v>
      </c>
      <c r="E59" s="3">
        <v>106.4</v>
      </c>
    </row>
    <row r="60" spans="1:5" x14ac:dyDescent="0.25">
      <c r="A60" s="12" t="s">
        <v>33</v>
      </c>
      <c r="B60" s="3">
        <v>101.4</v>
      </c>
      <c r="C60" s="3">
        <v>96.7</v>
      </c>
      <c r="D60" s="3">
        <v>98.4</v>
      </c>
      <c r="E60" s="3">
        <v>111.1</v>
      </c>
    </row>
    <row r="61" spans="1:5" x14ac:dyDescent="0.25">
      <c r="A61" s="12" t="s">
        <v>34</v>
      </c>
      <c r="B61" s="3">
        <v>100.7</v>
      </c>
      <c r="C61" s="3">
        <v>99.6</v>
      </c>
      <c r="D61" s="3">
        <v>103.9</v>
      </c>
      <c r="E61" s="3">
        <v>105.1</v>
      </c>
    </row>
    <row r="62" spans="1:5" x14ac:dyDescent="0.25">
      <c r="A62" s="12" t="s">
        <v>84</v>
      </c>
      <c r="B62" s="3">
        <v>100</v>
      </c>
      <c r="C62" s="3">
        <v>100.9</v>
      </c>
      <c r="D62" s="3">
        <v>101.8</v>
      </c>
      <c r="E62" s="3">
        <v>106.3</v>
      </c>
    </row>
    <row r="63" spans="1:5" x14ac:dyDescent="0.25">
      <c r="A63" s="12" t="s">
        <v>77</v>
      </c>
      <c r="B63" s="3">
        <v>98.7</v>
      </c>
      <c r="C63" s="3">
        <v>103.9</v>
      </c>
      <c r="D63" s="3">
        <v>104.9</v>
      </c>
      <c r="E63" s="3">
        <v>107.3</v>
      </c>
    </row>
    <row r="64" spans="1:5" x14ac:dyDescent="0.25">
      <c r="A64" s="12" t="s">
        <v>35</v>
      </c>
      <c r="B64" s="3">
        <v>99.2</v>
      </c>
      <c r="C64" s="3">
        <v>101.2</v>
      </c>
      <c r="D64" s="3">
        <v>99.6</v>
      </c>
      <c r="E64" s="3">
        <v>104.3</v>
      </c>
    </row>
    <row r="65" spans="1:5" x14ac:dyDescent="0.25">
      <c r="A65" s="12" t="s">
        <v>36</v>
      </c>
      <c r="B65" s="3">
        <v>98.4</v>
      </c>
      <c r="C65" s="3">
        <v>100.1</v>
      </c>
      <c r="D65" s="3">
        <v>102</v>
      </c>
      <c r="E65" s="3">
        <v>105.2</v>
      </c>
    </row>
    <row r="66" spans="1:5" x14ac:dyDescent="0.25">
      <c r="A66" s="12" t="s">
        <v>78</v>
      </c>
      <c r="B66" s="3">
        <v>100.6</v>
      </c>
      <c r="C66" s="3">
        <v>103</v>
      </c>
      <c r="D66" s="3">
        <v>102.4</v>
      </c>
      <c r="E66" s="3">
        <v>108.8</v>
      </c>
    </row>
    <row r="67" spans="1:5" x14ac:dyDescent="0.25">
      <c r="A67" s="12" t="s">
        <v>37</v>
      </c>
      <c r="B67" s="3">
        <v>98.1</v>
      </c>
      <c r="C67" s="3">
        <v>103.1</v>
      </c>
      <c r="D67" s="3">
        <v>102.8</v>
      </c>
      <c r="E67" s="3">
        <v>102.3</v>
      </c>
    </row>
    <row r="68" spans="1:5" x14ac:dyDescent="0.25">
      <c r="A68" s="12" t="s">
        <v>38</v>
      </c>
      <c r="B68" s="3">
        <v>98.7</v>
      </c>
      <c r="C68" s="3">
        <v>103.7</v>
      </c>
      <c r="D68" s="3">
        <v>102</v>
      </c>
      <c r="E68" s="3">
        <v>103.1</v>
      </c>
    </row>
    <row r="69" spans="1:5" x14ac:dyDescent="0.25">
      <c r="A69" s="12" t="s">
        <v>39</v>
      </c>
      <c r="B69" s="3">
        <v>99.2</v>
      </c>
      <c r="C69" s="3">
        <v>101.1</v>
      </c>
      <c r="D69" s="3">
        <v>98.8</v>
      </c>
      <c r="E69" s="3">
        <v>104.8</v>
      </c>
    </row>
    <row r="70" spans="1:5" x14ac:dyDescent="0.25">
      <c r="A70" s="12" t="s">
        <v>40</v>
      </c>
      <c r="B70" s="3">
        <v>104.8</v>
      </c>
      <c r="C70" s="3">
        <v>102.2</v>
      </c>
      <c r="D70" s="3">
        <v>100.6</v>
      </c>
      <c r="E70" s="3">
        <v>103.2</v>
      </c>
    </row>
    <row r="71" spans="1:5" x14ac:dyDescent="0.25">
      <c r="A71" s="12" t="s">
        <v>41</v>
      </c>
      <c r="B71" s="3">
        <v>103.2</v>
      </c>
      <c r="C71" s="3">
        <v>99.6</v>
      </c>
      <c r="D71" s="3">
        <v>95.5</v>
      </c>
      <c r="E71" s="3">
        <v>105.8</v>
      </c>
    </row>
    <row r="72" spans="1:5" s="10" customFormat="1" x14ac:dyDescent="0.25">
      <c r="A72" s="11" t="s">
        <v>79</v>
      </c>
      <c r="B72" s="3"/>
      <c r="C72" s="3"/>
      <c r="D72" s="3"/>
      <c r="E72" s="3"/>
    </row>
    <row r="73" spans="1:5" x14ac:dyDescent="0.25">
      <c r="A73" s="12" t="s">
        <v>42</v>
      </c>
      <c r="B73" s="3">
        <v>100.4</v>
      </c>
      <c r="C73" s="3">
        <v>105.4</v>
      </c>
      <c r="D73" s="3">
        <v>107.1</v>
      </c>
      <c r="E73" s="3">
        <v>100.7</v>
      </c>
    </row>
    <row r="74" spans="1:5" x14ac:dyDescent="0.25">
      <c r="A74" s="12" t="s">
        <v>43</v>
      </c>
      <c r="B74" s="3">
        <v>99.4</v>
      </c>
      <c r="C74" s="3">
        <v>104.1</v>
      </c>
      <c r="D74" s="3">
        <v>100.1</v>
      </c>
      <c r="E74" s="3">
        <v>105</v>
      </c>
    </row>
    <row r="75" spans="1:5" x14ac:dyDescent="0.25">
      <c r="A75" s="12" t="s">
        <v>44</v>
      </c>
      <c r="B75" s="3">
        <v>100.2</v>
      </c>
      <c r="C75" s="3">
        <v>102</v>
      </c>
      <c r="D75" s="3">
        <v>101.9</v>
      </c>
      <c r="E75" s="3">
        <v>97.7</v>
      </c>
    </row>
    <row r="76" spans="1:5" x14ac:dyDescent="0.25">
      <c r="A76" s="14" t="s">
        <v>45</v>
      </c>
      <c r="B76" s="3"/>
      <c r="C76" s="3"/>
      <c r="D76" s="3"/>
      <c r="E76" s="3"/>
    </row>
    <row r="77" spans="1:5" x14ac:dyDescent="0.25">
      <c r="A77" s="15" t="s">
        <v>85</v>
      </c>
      <c r="B77" s="3">
        <v>99.6</v>
      </c>
      <c r="C77" s="3">
        <v>102.8</v>
      </c>
      <c r="D77" s="3">
        <v>103.5</v>
      </c>
      <c r="E77" s="3">
        <v>97.3</v>
      </c>
    </row>
    <row r="78" spans="1:5" x14ac:dyDescent="0.25">
      <c r="A78" s="15" t="s">
        <v>88</v>
      </c>
      <c r="B78" s="3">
        <v>100.1</v>
      </c>
      <c r="C78" s="3">
        <v>100.9</v>
      </c>
      <c r="D78" s="3">
        <v>100.8</v>
      </c>
      <c r="E78" s="3">
        <v>94.9</v>
      </c>
    </row>
    <row r="79" spans="1:5" x14ac:dyDescent="0.25">
      <c r="A79" s="15" t="s">
        <v>105</v>
      </c>
      <c r="B79" s="3">
        <v>100.8</v>
      </c>
      <c r="C79" s="3">
        <v>101.6</v>
      </c>
      <c r="D79" s="3">
        <v>100.6</v>
      </c>
      <c r="E79" s="3">
        <v>105.2</v>
      </c>
    </row>
    <row r="80" spans="1:5" x14ac:dyDescent="0.25">
      <c r="A80" s="12" t="s">
        <v>46</v>
      </c>
      <c r="B80" s="3">
        <v>99.9</v>
      </c>
      <c r="C80" s="3">
        <v>103.7</v>
      </c>
      <c r="D80" s="3">
        <v>101.1</v>
      </c>
      <c r="E80" s="3">
        <v>105.2</v>
      </c>
    </row>
    <row r="81" spans="1:5" s="10" customFormat="1" x14ac:dyDescent="0.25">
      <c r="A81" s="11" t="s">
        <v>80</v>
      </c>
      <c r="B81" s="3"/>
      <c r="C81" s="3"/>
      <c r="D81" s="3"/>
      <c r="E81" s="3"/>
    </row>
    <row r="82" spans="1:5" x14ac:dyDescent="0.25">
      <c r="A82" s="12" t="s">
        <v>47</v>
      </c>
      <c r="B82" s="3">
        <v>101.1</v>
      </c>
      <c r="C82" s="3">
        <v>100.2</v>
      </c>
      <c r="D82" s="3">
        <v>108.8</v>
      </c>
      <c r="E82" s="3">
        <v>109.6</v>
      </c>
    </row>
    <row r="83" spans="1:5" x14ac:dyDescent="0.25">
      <c r="A83" s="12" t="s">
        <v>49</v>
      </c>
      <c r="B83" s="3">
        <v>106.8</v>
      </c>
      <c r="C83" s="3">
        <v>98.7</v>
      </c>
      <c r="D83" s="3">
        <v>102.8</v>
      </c>
      <c r="E83" s="3">
        <v>105.6</v>
      </c>
    </row>
    <row r="84" spans="1:5" x14ac:dyDescent="0.25">
      <c r="A84" s="12" t="s">
        <v>50</v>
      </c>
      <c r="B84" s="3">
        <v>101.8</v>
      </c>
      <c r="C84" s="3">
        <v>105.4</v>
      </c>
      <c r="D84" s="3">
        <v>96.2</v>
      </c>
      <c r="E84" s="3">
        <v>98.3</v>
      </c>
    </row>
    <row r="85" spans="1:5" x14ac:dyDescent="0.25">
      <c r="A85" s="12" t="s">
        <v>51</v>
      </c>
      <c r="B85" s="3">
        <v>106</v>
      </c>
      <c r="C85" s="3">
        <v>103.2</v>
      </c>
      <c r="D85" s="3">
        <v>96.7</v>
      </c>
      <c r="E85" s="3">
        <v>99.9</v>
      </c>
    </row>
    <row r="86" spans="1:5" x14ac:dyDescent="0.25">
      <c r="A86" s="12" t="s">
        <v>53</v>
      </c>
      <c r="B86" s="3">
        <v>97.7</v>
      </c>
      <c r="C86" s="3">
        <v>101.8</v>
      </c>
      <c r="D86" s="3">
        <v>104.9</v>
      </c>
      <c r="E86" s="3">
        <v>98.9</v>
      </c>
    </row>
    <row r="87" spans="1:5" x14ac:dyDescent="0.25">
      <c r="A87" s="12" t="s">
        <v>54</v>
      </c>
      <c r="B87" s="3">
        <v>102.5</v>
      </c>
      <c r="C87" s="3">
        <v>98.4</v>
      </c>
      <c r="D87" s="3">
        <v>101.7</v>
      </c>
      <c r="E87" s="3">
        <v>101</v>
      </c>
    </row>
    <row r="88" spans="1:5" x14ac:dyDescent="0.25">
      <c r="A88" s="12" t="s">
        <v>55</v>
      </c>
      <c r="B88" s="3">
        <v>100.3</v>
      </c>
      <c r="C88" s="3">
        <v>98.9</v>
      </c>
      <c r="D88" s="3">
        <v>99.2</v>
      </c>
      <c r="E88" s="3">
        <v>100.5</v>
      </c>
    </row>
    <row r="89" spans="1:5" x14ac:dyDescent="0.25">
      <c r="A89" s="12" t="s">
        <v>56</v>
      </c>
      <c r="B89" s="3">
        <v>98.6</v>
      </c>
      <c r="C89" s="3">
        <v>100</v>
      </c>
      <c r="D89" s="3">
        <v>104</v>
      </c>
      <c r="E89" s="3">
        <v>105</v>
      </c>
    </row>
    <row r="90" spans="1:5" x14ac:dyDescent="0.25">
      <c r="A90" s="12" t="s">
        <v>57</v>
      </c>
      <c r="B90" s="3">
        <v>99.3</v>
      </c>
      <c r="C90" s="3">
        <v>97.8</v>
      </c>
      <c r="D90" s="3">
        <v>107</v>
      </c>
      <c r="E90" s="3">
        <v>105.2</v>
      </c>
    </row>
    <row r="91" spans="1:5" x14ac:dyDescent="0.25">
      <c r="A91" s="12" t="s">
        <v>58</v>
      </c>
      <c r="B91" s="3">
        <v>101.2</v>
      </c>
      <c r="C91" s="3">
        <v>101.7</v>
      </c>
      <c r="D91" s="3">
        <v>98.4</v>
      </c>
      <c r="E91" s="3">
        <v>101.4</v>
      </c>
    </row>
    <row r="92" spans="1:5" s="10" customFormat="1" x14ac:dyDescent="0.25">
      <c r="A92" s="19" t="s">
        <v>68</v>
      </c>
      <c r="B92" s="3"/>
      <c r="C92" s="3"/>
      <c r="D92" s="3"/>
      <c r="E92" s="3"/>
    </row>
    <row r="93" spans="1:5" x14ac:dyDescent="0.25">
      <c r="A93" s="12" t="s">
        <v>48</v>
      </c>
      <c r="B93" s="3">
        <v>99</v>
      </c>
      <c r="C93" s="3">
        <v>103.3</v>
      </c>
      <c r="D93" s="3">
        <v>112.2</v>
      </c>
      <c r="E93" s="3">
        <v>97.5</v>
      </c>
    </row>
    <row r="94" spans="1:5" x14ac:dyDescent="0.25">
      <c r="A94" s="12" t="s">
        <v>67</v>
      </c>
      <c r="B94" s="3">
        <v>102.7</v>
      </c>
      <c r="C94" s="3">
        <v>103</v>
      </c>
      <c r="D94" s="3">
        <v>101.4</v>
      </c>
      <c r="E94" s="3">
        <v>99.7</v>
      </c>
    </row>
    <row r="95" spans="1:5" x14ac:dyDescent="0.25">
      <c r="A95" s="12" t="s">
        <v>52</v>
      </c>
      <c r="B95" s="3">
        <v>97.3</v>
      </c>
      <c r="C95" s="3">
        <v>98.2</v>
      </c>
      <c r="D95" s="3">
        <v>99.9</v>
      </c>
      <c r="E95" s="3">
        <v>116</v>
      </c>
    </row>
    <row r="96" spans="1:5" x14ac:dyDescent="0.25">
      <c r="A96" s="12" t="s">
        <v>59</v>
      </c>
      <c r="B96" s="3">
        <v>94.3</v>
      </c>
      <c r="C96" s="3">
        <v>103.1</v>
      </c>
      <c r="D96" s="3">
        <v>95.7</v>
      </c>
      <c r="E96" s="3">
        <v>107.8</v>
      </c>
    </row>
    <row r="97" spans="1:5" x14ac:dyDescent="0.25">
      <c r="A97" s="12" t="s">
        <v>60</v>
      </c>
      <c r="B97" s="3">
        <v>99.3</v>
      </c>
      <c r="C97" s="3">
        <v>100.9</v>
      </c>
      <c r="D97" s="3">
        <v>104</v>
      </c>
      <c r="E97" s="3">
        <v>107.4</v>
      </c>
    </row>
    <row r="98" spans="1:5" x14ac:dyDescent="0.25">
      <c r="A98" s="12" t="s">
        <v>61</v>
      </c>
      <c r="B98" s="3">
        <v>99.5</v>
      </c>
      <c r="C98" s="3">
        <v>101.7</v>
      </c>
      <c r="D98" s="3">
        <v>97.5</v>
      </c>
      <c r="E98" s="3">
        <v>106.7</v>
      </c>
    </row>
    <row r="99" spans="1:5" x14ac:dyDescent="0.25">
      <c r="A99" s="12" t="s">
        <v>62</v>
      </c>
      <c r="B99" s="3">
        <v>100.4</v>
      </c>
      <c r="C99" s="3">
        <v>104.2</v>
      </c>
      <c r="D99" s="3">
        <v>102.6</v>
      </c>
      <c r="E99" s="3">
        <v>115.1</v>
      </c>
    </row>
    <row r="100" spans="1:5" x14ac:dyDescent="0.25">
      <c r="A100" s="12" t="s">
        <v>63</v>
      </c>
      <c r="B100" s="3">
        <v>96.1</v>
      </c>
      <c r="C100" s="3">
        <v>96.9</v>
      </c>
      <c r="D100" s="3">
        <v>95.9</v>
      </c>
      <c r="E100" s="3">
        <v>108.1</v>
      </c>
    </row>
    <row r="101" spans="1:5" x14ac:dyDescent="0.25">
      <c r="A101" s="12" t="s">
        <v>64</v>
      </c>
      <c r="B101" s="3">
        <v>101.7</v>
      </c>
      <c r="C101" s="3">
        <v>102.5</v>
      </c>
      <c r="D101" s="3">
        <v>93.9</v>
      </c>
      <c r="E101" s="3">
        <v>101.1</v>
      </c>
    </row>
    <row r="102" spans="1:5" x14ac:dyDescent="0.25">
      <c r="A102" s="12" t="s">
        <v>65</v>
      </c>
      <c r="B102" s="3">
        <v>99.7</v>
      </c>
      <c r="C102" s="3">
        <v>97</v>
      </c>
      <c r="D102" s="3">
        <v>98.4</v>
      </c>
      <c r="E102" s="3">
        <v>114.4</v>
      </c>
    </row>
    <row r="103" spans="1:5" ht="15.75" thickBot="1" x14ac:dyDescent="0.3">
      <c r="A103" s="16" t="s">
        <v>66</v>
      </c>
      <c r="B103" s="34">
        <v>98.2</v>
      </c>
      <c r="C103" s="34">
        <v>97.5</v>
      </c>
      <c r="D103" s="34">
        <v>95.7</v>
      </c>
      <c r="E103" s="34">
        <v>114.9</v>
      </c>
    </row>
  </sheetData>
  <customSheetViews>
    <customSheetView guid="{8022249A-38EC-4E73-9E7D-189E61894E59}" scale="200">
      <pane ySplit="4" topLeftCell="A8" activePane="bottomLeft" state="frozen"/>
      <selection pane="bottomLeft" activeCell="C12" sqref="C12"/>
      <pageMargins left="0.7" right="0.7" top="0.75" bottom="0.75" header="0.3" footer="0.3"/>
      <pageSetup paperSize="9" orientation="portrait" r:id="rId1"/>
    </customSheetView>
    <customSheetView guid="{F3F4C7FF-8EBE-4D52-9E48-0CCB4CC80F2C}" scale="140">
      <pane ySplit="4" topLeftCell="A5" activePane="bottomLeft" state="frozen"/>
      <selection pane="bottomLeft" activeCell="B11" sqref="B11"/>
      <pageMargins left="0.7" right="0.7" top="0.75" bottom="0.75" header="0.3" footer="0.3"/>
      <pageSetup paperSize="9" orientation="portrait" r:id="rId2"/>
    </customSheetView>
    <customSheetView guid="{5DBE6FD9-68D5-4F02-A25A-52A2FB41D9C1}" scale="140">
      <pane ySplit="4" topLeftCell="A5" activePane="bottomLeft" state="frozen"/>
      <selection pane="bottomLeft" activeCell="F5" sqref="F5"/>
      <pageMargins left="0.7" right="0.7" top="0.75" bottom="0.75" header="0.3" footer="0.3"/>
      <pageSetup paperSize="9" orientation="portrait" r:id="rId3"/>
    </customSheetView>
  </customSheetViews>
  <mergeCells count="5">
    <mergeCell ref="A4:A5"/>
    <mergeCell ref="A3:E3"/>
    <mergeCell ref="A2:E2"/>
    <mergeCell ref="B4:C4"/>
    <mergeCell ref="D4:E4"/>
  </mergeCells>
  <hyperlinks>
    <hyperlink ref="A1" location="Содержание!A1" display="К содержанию"/>
  </hyperlinks>
  <pageMargins left="0.39370078740157483" right="0.39370078740157483" top="0.55118110236220474" bottom="0.55118110236220474" header="0.31496062992125984" footer="0.31496062992125984"/>
  <pageSetup paperSize="9" orientation="portrait" r:id="rId4"/>
  <rowBreaks count="1" manualBreakCount="1">
    <brk id="5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zoomScale="120" zoomScaleNormal="120" workbookViewId="0"/>
  </sheetViews>
  <sheetFormatPr defaultRowHeight="15" x14ac:dyDescent="0.25"/>
  <cols>
    <col min="1" max="1" width="32" style="2" customWidth="1"/>
    <col min="2" max="6" width="11.42578125" style="2" customWidth="1"/>
    <col min="7" max="16384" width="9.140625" style="2"/>
  </cols>
  <sheetData>
    <row r="1" spans="1:6" ht="23.25" x14ac:dyDescent="0.6">
      <c r="A1" s="24" t="s">
        <v>115</v>
      </c>
    </row>
    <row r="2" spans="1:6" ht="32.25" customHeight="1" x14ac:dyDescent="0.25">
      <c r="A2" s="49" t="s">
        <v>117</v>
      </c>
      <c r="B2" s="49"/>
      <c r="C2" s="49"/>
      <c r="D2" s="49"/>
      <c r="E2" s="49"/>
      <c r="F2" s="49"/>
    </row>
    <row r="3" spans="1:6" ht="15.75" thickBot="1" x14ac:dyDescent="0.3">
      <c r="A3" s="50" t="s">
        <v>111</v>
      </c>
      <c r="B3" s="50"/>
      <c r="C3" s="50"/>
      <c r="D3" s="50"/>
      <c r="E3" s="50"/>
      <c r="F3" s="50"/>
    </row>
    <row r="4" spans="1:6" ht="15.75" thickBot="1" x14ac:dyDescent="0.3">
      <c r="A4" s="8"/>
      <c r="B4" s="31">
        <v>2010</v>
      </c>
      <c r="C4" s="31">
        <v>2020</v>
      </c>
      <c r="D4" s="31">
        <v>2021</v>
      </c>
      <c r="E4" s="31">
        <v>2022</v>
      </c>
      <c r="F4" s="31">
        <v>2023</v>
      </c>
    </row>
    <row r="5" spans="1:6" s="10" customFormat="1" x14ac:dyDescent="0.25">
      <c r="A5" s="9" t="s">
        <v>0</v>
      </c>
      <c r="B5" s="4">
        <v>149326.79999999999</v>
      </c>
      <c r="C5" s="4">
        <v>146012.4</v>
      </c>
      <c r="D5" s="4">
        <v>148932.79999999999</v>
      </c>
      <c r="E5" s="4">
        <v>149936.20000000001</v>
      </c>
      <c r="F5" s="4">
        <v>152251.6</v>
      </c>
    </row>
    <row r="6" spans="1:6" s="10" customFormat="1" x14ac:dyDescent="0.25">
      <c r="A6" s="11" t="s">
        <v>89</v>
      </c>
      <c r="B6" s="4">
        <v>42369</v>
      </c>
      <c r="C6" s="4">
        <v>43029.4</v>
      </c>
      <c r="D6" s="4">
        <v>43711.3</v>
      </c>
      <c r="E6" s="4">
        <v>43520.5</v>
      </c>
      <c r="F6" s="4">
        <v>44182</v>
      </c>
    </row>
    <row r="7" spans="1:6" x14ac:dyDescent="0.25">
      <c r="A7" s="12" t="s">
        <v>2</v>
      </c>
      <c r="B7" s="5">
        <v>1563.5</v>
      </c>
      <c r="C7" s="5">
        <v>1608.3</v>
      </c>
      <c r="D7" s="5">
        <v>1623.4</v>
      </c>
      <c r="E7" s="5">
        <v>1664.7</v>
      </c>
      <c r="F7" s="5">
        <v>1636.1</v>
      </c>
    </row>
    <row r="8" spans="1:6" x14ac:dyDescent="0.25">
      <c r="A8" s="12" t="s">
        <v>1</v>
      </c>
      <c r="B8" s="5">
        <v>1199</v>
      </c>
      <c r="C8" s="5">
        <v>1013</v>
      </c>
      <c r="D8" s="5">
        <v>1042.5</v>
      </c>
      <c r="E8" s="5">
        <v>1033.5999999999999</v>
      </c>
      <c r="F8" s="5">
        <v>1034.2</v>
      </c>
    </row>
    <row r="9" spans="1:6" x14ac:dyDescent="0.25">
      <c r="A9" s="12" t="s">
        <v>3</v>
      </c>
      <c r="B9" s="5">
        <v>1486.6</v>
      </c>
      <c r="C9" s="5">
        <v>1402.3</v>
      </c>
      <c r="D9" s="5">
        <v>1390</v>
      </c>
      <c r="E9" s="5">
        <v>1433</v>
      </c>
      <c r="F9" s="5">
        <v>1387.1</v>
      </c>
    </row>
    <row r="10" spans="1:6" x14ac:dyDescent="0.25">
      <c r="A10" s="12" t="s">
        <v>4</v>
      </c>
      <c r="B10" s="5">
        <v>2321.6999999999998</v>
      </c>
      <c r="C10" s="5">
        <v>2281.1999999999998</v>
      </c>
      <c r="D10" s="5">
        <v>2313.9</v>
      </c>
      <c r="E10" s="5">
        <v>2361.6999999999998</v>
      </c>
      <c r="F10" s="5">
        <v>2367.6</v>
      </c>
    </row>
    <row r="11" spans="1:6" x14ac:dyDescent="0.25">
      <c r="A11" s="12" t="s">
        <v>5</v>
      </c>
      <c r="B11" s="5">
        <v>1025.7</v>
      </c>
      <c r="C11" s="5">
        <v>875.5</v>
      </c>
      <c r="D11" s="5">
        <v>902.6</v>
      </c>
      <c r="E11" s="5">
        <v>910.9</v>
      </c>
      <c r="F11" s="5">
        <v>901.1</v>
      </c>
    </row>
    <row r="12" spans="1:6" x14ac:dyDescent="0.25">
      <c r="A12" s="12" t="s">
        <v>6</v>
      </c>
      <c r="B12" s="5">
        <v>1104.8</v>
      </c>
      <c r="C12" s="5">
        <v>1066.7</v>
      </c>
      <c r="D12" s="5">
        <v>1101.0999999999999</v>
      </c>
      <c r="E12" s="5">
        <v>1083.5999999999999</v>
      </c>
      <c r="F12" s="5">
        <v>1090.2</v>
      </c>
    </row>
    <row r="13" spans="1:6" x14ac:dyDescent="0.25">
      <c r="A13" s="12" t="s">
        <v>7</v>
      </c>
      <c r="B13" s="5">
        <v>718.8</v>
      </c>
      <c r="C13" s="5">
        <v>554</v>
      </c>
      <c r="D13" s="5">
        <v>556.1</v>
      </c>
      <c r="E13" s="5">
        <v>560.4</v>
      </c>
      <c r="F13" s="5">
        <v>565.20000000000005</v>
      </c>
    </row>
    <row r="14" spans="1:6" x14ac:dyDescent="0.25">
      <c r="A14" s="12" t="s">
        <v>8</v>
      </c>
      <c r="B14" s="5">
        <v>1158.9000000000001</v>
      </c>
      <c r="C14" s="5">
        <v>1084.7</v>
      </c>
      <c r="D14" s="5">
        <v>1125.5</v>
      </c>
      <c r="E14" s="5">
        <v>1139.0999999999999</v>
      </c>
      <c r="F14" s="5">
        <v>1124.5999999999999</v>
      </c>
    </row>
    <row r="15" spans="1:6" x14ac:dyDescent="0.25">
      <c r="A15" s="12" t="s">
        <v>9</v>
      </c>
      <c r="B15" s="5">
        <v>1160.5999999999999</v>
      </c>
      <c r="C15" s="5">
        <v>1162.7</v>
      </c>
      <c r="D15" s="5">
        <v>1170.5999999999999</v>
      </c>
      <c r="E15" s="5">
        <v>1145</v>
      </c>
      <c r="F15" s="5">
        <v>1147.5</v>
      </c>
    </row>
    <row r="16" spans="1:6" x14ac:dyDescent="0.25">
      <c r="A16" s="12" t="s">
        <v>10</v>
      </c>
      <c r="B16" s="5">
        <v>6815.3</v>
      </c>
      <c r="C16" s="5">
        <v>7323.7</v>
      </c>
      <c r="D16" s="5">
        <v>7544.9</v>
      </c>
      <c r="E16" s="5">
        <v>7515.9</v>
      </c>
      <c r="F16" s="5">
        <v>8012.6</v>
      </c>
    </row>
    <row r="17" spans="1:6" x14ac:dyDescent="0.25">
      <c r="A17" s="12" t="s">
        <v>11</v>
      </c>
      <c r="B17" s="5">
        <v>727</v>
      </c>
      <c r="C17" s="5">
        <v>626.20000000000005</v>
      </c>
      <c r="D17" s="5">
        <v>638.4</v>
      </c>
      <c r="E17" s="5">
        <v>640.6</v>
      </c>
      <c r="F17" s="5">
        <v>653.20000000000005</v>
      </c>
    </row>
    <row r="18" spans="1:6" x14ac:dyDescent="0.25">
      <c r="A18" s="12" t="s">
        <v>12</v>
      </c>
      <c r="B18" s="5">
        <v>1111.2</v>
      </c>
      <c r="C18" s="5">
        <v>1045.4000000000001</v>
      </c>
      <c r="D18" s="5">
        <v>1073.7</v>
      </c>
      <c r="E18" s="5">
        <v>1084.7</v>
      </c>
      <c r="F18" s="5">
        <v>1061.5</v>
      </c>
    </row>
    <row r="19" spans="1:6" x14ac:dyDescent="0.25">
      <c r="A19" s="12" t="s">
        <v>13</v>
      </c>
      <c r="B19" s="5">
        <v>1025</v>
      </c>
      <c r="C19" s="5">
        <v>828.3</v>
      </c>
      <c r="D19" s="5">
        <v>851.4</v>
      </c>
      <c r="E19" s="5">
        <v>882.6</v>
      </c>
      <c r="F19" s="5">
        <v>872.4</v>
      </c>
    </row>
    <row r="20" spans="1:6" x14ac:dyDescent="0.25">
      <c r="A20" s="12" t="s">
        <v>14</v>
      </c>
      <c r="B20" s="5">
        <v>1046.2</v>
      </c>
      <c r="C20" s="5">
        <v>949.8</v>
      </c>
      <c r="D20" s="5">
        <v>970.8</v>
      </c>
      <c r="E20" s="5">
        <v>985</v>
      </c>
      <c r="F20" s="5">
        <v>972.9</v>
      </c>
    </row>
    <row r="21" spans="1:6" x14ac:dyDescent="0.25">
      <c r="A21" s="12" t="s">
        <v>15</v>
      </c>
      <c r="B21" s="5">
        <v>1401.7</v>
      </c>
      <c r="C21" s="5">
        <v>1263</v>
      </c>
      <c r="D21" s="5">
        <v>1257.7</v>
      </c>
      <c r="E21" s="5">
        <v>1266.4000000000001</v>
      </c>
      <c r="F21" s="5">
        <v>1268.3</v>
      </c>
    </row>
    <row r="22" spans="1:6" x14ac:dyDescent="0.25">
      <c r="A22" s="12" t="s">
        <v>16</v>
      </c>
      <c r="B22" s="5">
        <v>1534.8</v>
      </c>
      <c r="C22" s="5">
        <v>1516.3</v>
      </c>
      <c r="D22" s="5">
        <v>1536.7</v>
      </c>
      <c r="E22" s="5">
        <v>1538.6</v>
      </c>
      <c r="F22" s="5">
        <v>1509.6</v>
      </c>
    </row>
    <row r="23" spans="1:6" x14ac:dyDescent="0.25">
      <c r="A23" s="12" t="s">
        <v>17</v>
      </c>
      <c r="B23" s="5">
        <v>1360</v>
      </c>
      <c r="C23" s="5">
        <v>1232</v>
      </c>
      <c r="D23" s="5">
        <v>1270</v>
      </c>
      <c r="E23" s="5">
        <v>1250.2</v>
      </c>
      <c r="F23" s="5">
        <v>1273</v>
      </c>
    </row>
    <row r="24" spans="1:6" x14ac:dyDescent="0.25">
      <c r="A24" s="12" t="s">
        <v>18</v>
      </c>
      <c r="B24" s="5">
        <v>15608.3</v>
      </c>
      <c r="C24" s="5">
        <v>17196.400000000001</v>
      </c>
      <c r="D24" s="5">
        <v>17342.2</v>
      </c>
      <c r="E24" s="5">
        <v>17024.599999999999</v>
      </c>
      <c r="F24" s="5">
        <v>17304.900000000001</v>
      </c>
    </row>
    <row r="25" spans="1:6" s="10" customFormat="1" x14ac:dyDescent="0.25">
      <c r="A25" s="11" t="s">
        <v>81</v>
      </c>
      <c r="B25" s="4">
        <v>14689.9</v>
      </c>
      <c r="C25" s="4">
        <v>14106.9</v>
      </c>
      <c r="D25" s="4">
        <v>14288.5</v>
      </c>
      <c r="E25" s="4">
        <v>14484.5</v>
      </c>
      <c r="F25" s="4">
        <v>14581.2</v>
      </c>
    </row>
    <row r="26" spans="1:6" x14ac:dyDescent="0.25">
      <c r="A26" s="12" t="s">
        <v>19</v>
      </c>
      <c r="B26" s="5">
        <v>631.79999999999995</v>
      </c>
      <c r="C26" s="5">
        <v>460.7</v>
      </c>
      <c r="D26" s="5">
        <v>468.9</v>
      </c>
      <c r="E26" s="5">
        <v>465.1</v>
      </c>
      <c r="F26" s="5">
        <v>466.1</v>
      </c>
    </row>
    <row r="27" spans="1:6" x14ac:dyDescent="0.25">
      <c r="A27" s="12" t="s">
        <v>20</v>
      </c>
      <c r="B27" s="5">
        <v>931.1</v>
      </c>
      <c r="C27" s="5">
        <v>695.1</v>
      </c>
      <c r="D27" s="5">
        <v>681.9</v>
      </c>
      <c r="E27" s="5">
        <v>665.8</v>
      </c>
      <c r="F27" s="5">
        <v>654.1</v>
      </c>
    </row>
    <row r="28" spans="1:6" x14ac:dyDescent="0.25">
      <c r="A28" s="12" t="s">
        <v>83</v>
      </c>
      <c r="B28" s="5">
        <v>1171.2</v>
      </c>
      <c r="C28" s="5">
        <v>923.5</v>
      </c>
      <c r="D28" s="5">
        <v>934.2</v>
      </c>
      <c r="E28" s="5">
        <v>936.2</v>
      </c>
      <c r="F28" s="5">
        <v>910.6</v>
      </c>
    </row>
    <row r="29" spans="1:6" x14ac:dyDescent="0.25">
      <c r="A29" s="14" t="s">
        <v>106</v>
      </c>
      <c r="B29" s="5"/>
      <c r="C29" s="5"/>
      <c r="D29" s="5"/>
      <c r="E29" s="5"/>
      <c r="F29" s="5"/>
    </row>
    <row r="30" spans="1:6" x14ac:dyDescent="0.25">
      <c r="A30" s="15" t="s">
        <v>103</v>
      </c>
      <c r="B30" s="5">
        <v>58.4</v>
      </c>
      <c r="C30" s="5">
        <v>57.9</v>
      </c>
      <c r="D30" s="5">
        <v>55.3</v>
      </c>
      <c r="E30" s="5">
        <v>56.3</v>
      </c>
      <c r="F30" s="5">
        <v>56.1</v>
      </c>
    </row>
    <row r="31" spans="1:6" ht="15" customHeight="1" x14ac:dyDescent="0.25">
      <c r="A31" s="15" t="s">
        <v>104</v>
      </c>
      <c r="B31" s="5">
        <v>1112.9000000000001</v>
      </c>
      <c r="C31" s="5">
        <v>865.6</v>
      </c>
      <c r="D31" s="5">
        <v>878.9</v>
      </c>
      <c r="E31" s="5">
        <v>880</v>
      </c>
      <c r="F31" s="5">
        <v>854.4</v>
      </c>
    </row>
    <row r="32" spans="1:6" x14ac:dyDescent="0.25">
      <c r="A32" s="12" t="s">
        <v>21</v>
      </c>
      <c r="B32" s="5">
        <v>1224.4000000000001</v>
      </c>
      <c r="C32" s="5">
        <v>1115.2</v>
      </c>
      <c r="D32" s="5">
        <v>1105.3</v>
      </c>
      <c r="E32" s="5">
        <v>1108.8</v>
      </c>
      <c r="F32" s="5">
        <v>1075.8</v>
      </c>
    </row>
    <row r="33" spans="1:6" x14ac:dyDescent="0.25">
      <c r="A33" s="12" t="s">
        <v>69</v>
      </c>
      <c r="B33" s="5">
        <v>996.2</v>
      </c>
      <c r="C33" s="5">
        <v>996.7</v>
      </c>
      <c r="D33" s="5">
        <v>1026.0999999999999</v>
      </c>
      <c r="E33" s="5">
        <v>1062.4000000000001</v>
      </c>
      <c r="F33" s="5">
        <v>1088.9000000000001</v>
      </c>
    </row>
    <row r="34" spans="1:6" x14ac:dyDescent="0.25">
      <c r="A34" s="12" t="s">
        <v>70</v>
      </c>
      <c r="B34" s="5">
        <v>1753.9</v>
      </c>
      <c r="C34" s="5">
        <v>1744.5</v>
      </c>
      <c r="D34" s="5">
        <v>1775.6</v>
      </c>
      <c r="E34" s="5">
        <v>1910.4</v>
      </c>
      <c r="F34" s="5">
        <v>1844.8</v>
      </c>
    </row>
    <row r="35" spans="1:6" x14ac:dyDescent="0.25">
      <c r="A35" s="12" t="s">
        <v>22</v>
      </c>
      <c r="B35" s="5">
        <v>756.9</v>
      </c>
      <c r="C35" s="5">
        <v>580.1</v>
      </c>
      <c r="D35" s="5">
        <v>584.4</v>
      </c>
      <c r="E35" s="5">
        <v>547.79999999999995</v>
      </c>
      <c r="F35" s="5">
        <v>547.1</v>
      </c>
    </row>
    <row r="36" spans="1:6" x14ac:dyDescent="0.25">
      <c r="A36" s="12" t="s">
        <v>71</v>
      </c>
      <c r="B36" s="5">
        <v>725.3</v>
      </c>
      <c r="C36" s="5">
        <v>584.79999999999995</v>
      </c>
      <c r="D36" s="5">
        <v>595.20000000000005</v>
      </c>
      <c r="E36" s="5">
        <v>601.6</v>
      </c>
      <c r="F36" s="5">
        <v>610.9</v>
      </c>
    </row>
    <row r="37" spans="1:6" x14ac:dyDescent="0.25">
      <c r="A37" s="12" t="s">
        <v>23</v>
      </c>
      <c r="B37" s="5">
        <v>680.6</v>
      </c>
      <c r="C37" s="5">
        <v>641.70000000000005</v>
      </c>
      <c r="D37" s="5">
        <v>638.5</v>
      </c>
      <c r="E37" s="5">
        <v>634.79999999999995</v>
      </c>
      <c r="F37" s="5">
        <v>656.1</v>
      </c>
    </row>
    <row r="38" spans="1:6" x14ac:dyDescent="0.25">
      <c r="A38" s="12" t="s">
        <v>24</v>
      </c>
      <c r="B38" s="5">
        <v>5818.5</v>
      </c>
      <c r="C38" s="5">
        <v>6364.6</v>
      </c>
      <c r="D38" s="5">
        <v>6478.5</v>
      </c>
      <c r="E38" s="5">
        <v>6551.5</v>
      </c>
      <c r="F38" s="5">
        <v>6726.8</v>
      </c>
    </row>
    <row r="39" spans="1:6" s="10" customFormat="1" x14ac:dyDescent="0.25">
      <c r="A39" s="11" t="s">
        <v>72</v>
      </c>
      <c r="B39" s="4">
        <v>13828.2</v>
      </c>
      <c r="C39" s="4">
        <v>15561.5</v>
      </c>
      <c r="D39" s="4">
        <v>16108.4</v>
      </c>
      <c r="E39" s="4">
        <v>16458.2</v>
      </c>
      <c r="F39" s="4">
        <v>16895.8</v>
      </c>
    </row>
    <row r="40" spans="1:6" x14ac:dyDescent="0.25">
      <c r="A40" s="12" t="s">
        <v>25</v>
      </c>
      <c r="B40" s="5">
        <v>340.4</v>
      </c>
      <c r="C40" s="5">
        <v>344.8</v>
      </c>
      <c r="D40" s="5">
        <v>348.6</v>
      </c>
      <c r="E40" s="5">
        <v>351.3</v>
      </c>
      <c r="F40" s="5">
        <v>338.2</v>
      </c>
    </row>
    <row r="41" spans="1:6" x14ac:dyDescent="0.25">
      <c r="A41" s="12" t="s">
        <v>26</v>
      </c>
      <c r="B41" s="5">
        <v>243.2</v>
      </c>
      <c r="C41" s="5">
        <v>219.8</v>
      </c>
      <c r="D41" s="5">
        <v>224.2</v>
      </c>
      <c r="E41" s="5">
        <v>235.7</v>
      </c>
      <c r="F41" s="5">
        <v>236.3</v>
      </c>
    </row>
    <row r="42" spans="1:6" x14ac:dyDescent="0.25">
      <c r="A42" s="1" t="s">
        <v>107</v>
      </c>
      <c r="B42" s="5" t="s">
        <v>114</v>
      </c>
      <c r="C42" s="5">
        <v>1683.3</v>
      </c>
      <c r="D42" s="5">
        <v>1707</v>
      </c>
      <c r="E42" s="5">
        <v>1716.1</v>
      </c>
      <c r="F42" s="5">
        <v>1784</v>
      </c>
    </row>
    <row r="43" spans="1:6" x14ac:dyDescent="0.25">
      <c r="A43" s="12" t="s">
        <v>27</v>
      </c>
      <c r="B43" s="5">
        <v>5324.9</v>
      </c>
      <c r="C43" s="5">
        <v>5643.2</v>
      </c>
      <c r="D43" s="5">
        <v>5877</v>
      </c>
      <c r="E43" s="5">
        <v>5990.2</v>
      </c>
      <c r="F43" s="5">
        <v>6199.2</v>
      </c>
    </row>
    <row r="44" spans="1:6" x14ac:dyDescent="0.25">
      <c r="A44" s="12" t="s">
        <v>28</v>
      </c>
      <c r="B44" s="5">
        <v>991.1</v>
      </c>
      <c r="C44" s="5">
        <v>876.5</v>
      </c>
      <c r="D44" s="5">
        <v>905.6</v>
      </c>
      <c r="E44" s="5">
        <v>928.3</v>
      </c>
      <c r="F44" s="5">
        <v>941.6</v>
      </c>
    </row>
    <row r="45" spans="1:6" x14ac:dyDescent="0.25">
      <c r="A45" s="12" t="s">
        <v>73</v>
      </c>
      <c r="B45" s="5">
        <v>2678.8</v>
      </c>
      <c r="C45" s="5">
        <v>2415</v>
      </c>
      <c r="D45" s="5">
        <v>2488.5</v>
      </c>
      <c r="E45" s="5">
        <v>2558.8000000000002</v>
      </c>
      <c r="F45" s="5">
        <v>2578.4</v>
      </c>
    </row>
    <row r="46" spans="1:6" x14ac:dyDescent="0.25">
      <c r="A46" s="12" t="s">
        <v>29</v>
      </c>
      <c r="B46" s="5">
        <v>4249.8</v>
      </c>
      <c r="C46" s="5">
        <v>3953.1</v>
      </c>
      <c r="D46" s="5">
        <v>4109.8</v>
      </c>
      <c r="E46" s="5">
        <v>4203.8999999999996</v>
      </c>
      <c r="F46" s="5">
        <v>4331.3</v>
      </c>
    </row>
    <row r="47" spans="1:6" x14ac:dyDescent="0.25">
      <c r="A47" s="1" t="s">
        <v>109</v>
      </c>
      <c r="B47" s="5" t="s">
        <v>114</v>
      </c>
      <c r="C47" s="5">
        <v>425.8</v>
      </c>
      <c r="D47" s="5">
        <v>447.6</v>
      </c>
      <c r="E47" s="5">
        <v>473.9</v>
      </c>
      <c r="F47" s="5">
        <v>486.8</v>
      </c>
    </row>
    <row r="48" spans="1:6" s="10" customFormat="1" x14ac:dyDescent="0.25">
      <c r="A48" s="11" t="s">
        <v>91</v>
      </c>
      <c r="B48" s="4">
        <v>7299.2</v>
      </c>
      <c r="C48" s="4">
        <v>7601</v>
      </c>
      <c r="D48" s="4">
        <v>7869.1</v>
      </c>
      <c r="E48" s="4">
        <v>8313.7000000000007</v>
      </c>
      <c r="F48" s="4">
        <v>8454.4</v>
      </c>
    </row>
    <row r="49" spans="1:6" x14ac:dyDescent="0.25">
      <c r="A49" s="12" t="s">
        <v>30</v>
      </c>
      <c r="B49" s="5">
        <v>1985.2</v>
      </c>
      <c r="C49" s="5">
        <v>2029.9</v>
      </c>
      <c r="D49" s="5">
        <v>2162.6</v>
      </c>
      <c r="E49" s="5">
        <v>2376.5</v>
      </c>
      <c r="F49" s="5">
        <v>2511.4</v>
      </c>
    </row>
    <row r="50" spans="1:6" x14ac:dyDescent="0.25">
      <c r="A50" s="12" t="s">
        <v>74</v>
      </c>
      <c r="B50" s="5">
        <v>242.7</v>
      </c>
      <c r="C50" s="5">
        <v>310.10000000000002</v>
      </c>
      <c r="D50" s="5">
        <v>313.7</v>
      </c>
      <c r="E50" s="5">
        <v>339.1</v>
      </c>
      <c r="F50" s="5">
        <v>352</v>
      </c>
    </row>
    <row r="51" spans="1:6" x14ac:dyDescent="0.25">
      <c r="A51" s="12" t="s">
        <v>86</v>
      </c>
      <c r="B51" s="5">
        <v>742.9</v>
      </c>
      <c r="C51" s="5">
        <v>769.5</v>
      </c>
      <c r="D51" s="5">
        <v>778</v>
      </c>
      <c r="E51" s="5">
        <v>806.7</v>
      </c>
      <c r="F51" s="5">
        <v>794.3</v>
      </c>
    </row>
    <row r="52" spans="1:6" x14ac:dyDescent="0.25">
      <c r="A52" s="12" t="s">
        <v>75</v>
      </c>
      <c r="B52" s="5">
        <v>382.8</v>
      </c>
      <c r="C52" s="5">
        <v>361.8</v>
      </c>
      <c r="D52" s="5">
        <v>377</v>
      </c>
      <c r="E52" s="5">
        <v>398.7</v>
      </c>
      <c r="F52" s="5">
        <v>416.2</v>
      </c>
    </row>
    <row r="53" spans="1:6" x14ac:dyDescent="0.25">
      <c r="A53" s="12" t="s">
        <v>92</v>
      </c>
      <c r="B53" s="5">
        <v>598.4</v>
      </c>
      <c r="C53" s="5">
        <v>504.5</v>
      </c>
      <c r="D53" s="5">
        <v>524</v>
      </c>
      <c r="E53" s="5">
        <v>553.70000000000005</v>
      </c>
      <c r="F53" s="5">
        <v>560.9</v>
      </c>
    </row>
    <row r="54" spans="1:6" x14ac:dyDescent="0.25">
      <c r="A54" s="12" t="s">
        <v>87</v>
      </c>
      <c r="B54" s="5">
        <v>822.7</v>
      </c>
      <c r="C54" s="5">
        <v>981.8</v>
      </c>
      <c r="D54" s="5">
        <v>1016.2</v>
      </c>
      <c r="E54" s="5">
        <v>1085.3</v>
      </c>
      <c r="F54" s="5">
        <v>1087.4000000000001</v>
      </c>
    </row>
    <row r="55" spans="1:6" x14ac:dyDescent="0.25">
      <c r="A55" s="12" t="s">
        <v>31</v>
      </c>
      <c r="B55" s="5">
        <v>2524.5</v>
      </c>
      <c r="C55" s="5">
        <v>2643.4</v>
      </c>
      <c r="D55" s="5">
        <v>2697.5</v>
      </c>
      <c r="E55" s="5">
        <v>2753.6</v>
      </c>
      <c r="F55" s="5">
        <v>2732.2</v>
      </c>
    </row>
    <row r="56" spans="1:6" s="10" customFormat="1" x14ac:dyDescent="0.25">
      <c r="A56" s="11" t="s">
        <v>82</v>
      </c>
      <c r="B56" s="4">
        <v>31183.5</v>
      </c>
      <c r="C56" s="4">
        <v>28496.7</v>
      </c>
      <c r="D56" s="4">
        <v>29162.799999999999</v>
      </c>
      <c r="E56" s="4">
        <v>29312.5</v>
      </c>
      <c r="F56" s="4">
        <v>29668.400000000001</v>
      </c>
    </row>
    <row r="57" spans="1:6" x14ac:dyDescent="0.25">
      <c r="A57" s="12" t="s">
        <v>76</v>
      </c>
      <c r="B57" s="5">
        <v>4090.7</v>
      </c>
      <c r="C57" s="5">
        <v>3582.9</v>
      </c>
      <c r="D57" s="5">
        <v>3719.6</v>
      </c>
      <c r="E57" s="5">
        <v>3795.3</v>
      </c>
      <c r="F57" s="5">
        <v>3806.8</v>
      </c>
    </row>
    <row r="58" spans="1:6" x14ac:dyDescent="0.25">
      <c r="A58" s="12" t="s">
        <v>32</v>
      </c>
      <c r="B58" s="5">
        <v>679.8</v>
      </c>
      <c r="C58" s="5">
        <v>617.5</v>
      </c>
      <c r="D58" s="5">
        <v>628.20000000000005</v>
      </c>
      <c r="E58" s="5">
        <v>621.79999999999995</v>
      </c>
      <c r="F58" s="5">
        <v>637.20000000000005</v>
      </c>
    </row>
    <row r="59" spans="1:6" x14ac:dyDescent="0.25">
      <c r="A59" s="12" t="s">
        <v>33</v>
      </c>
      <c r="B59" s="5">
        <v>864.1</v>
      </c>
      <c r="C59" s="5">
        <v>772.5</v>
      </c>
      <c r="D59" s="5">
        <v>790.7</v>
      </c>
      <c r="E59" s="5">
        <v>802</v>
      </c>
      <c r="F59" s="5">
        <v>775.4</v>
      </c>
    </row>
    <row r="60" spans="1:6" x14ac:dyDescent="0.25">
      <c r="A60" s="12" t="s">
        <v>34</v>
      </c>
      <c r="B60" s="5">
        <v>4170.8</v>
      </c>
      <c r="C60" s="5">
        <v>4298.7</v>
      </c>
      <c r="D60" s="5">
        <v>4398.8999999999996</v>
      </c>
      <c r="E60" s="5">
        <v>4430.2</v>
      </c>
      <c r="F60" s="5">
        <v>4412</v>
      </c>
    </row>
    <row r="61" spans="1:6" x14ac:dyDescent="0.25">
      <c r="A61" s="12" t="s">
        <v>84</v>
      </c>
      <c r="B61" s="5">
        <v>1618.3</v>
      </c>
      <c r="C61" s="5">
        <v>1495.1</v>
      </c>
      <c r="D61" s="5">
        <v>1530.5</v>
      </c>
      <c r="E61" s="5">
        <v>1530.4</v>
      </c>
      <c r="F61" s="5">
        <v>1543.8</v>
      </c>
    </row>
    <row r="62" spans="1:6" x14ac:dyDescent="0.25">
      <c r="A62" s="12" t="s">
        <v>77</v>
      </c>
      <c r="B62" s="5">
        <v>1449.3</v>
      </c>
      <c r="C62" s="5">
        <v>1129</v>
      </c>
      <c r="D62" s="5">
        <v>1147.5</v>
      </c>
      <c r="E62" s="5">
        <v>1133</v>
      </c>
      <c r="F62" s="5">
        <v>1176.7</v>
      </c>
    </row>
    <row r="63" spans="1:6" x14ac:dyDescent="0.25">
      <c r="A63" s="12" t="s">
        <v>35</v>
      </c>
      <c r="B63" s="5">
        <v>2644.3</v>
      </c>
      <c r="C63" s="5">
        <v>2350.5</v>
      </c>
      <c r="D63" s="5">
        <v>2442.3000000000002</v>
      </c>
      <c r="E63" s="5">
        <v>2423.1</v>
      </c>
      <c r="F63" s="5">
        <v>2451</v>
      </c>
    </row>
    <row r="64" spans="1:6" x14ac:dyDescent="0.25">
      <c r="A64" s="12" t="s">
        <v>36</v>
      </c>
      <c r="B64" s="5">
        <v>1439.9</v>
      </c>
      <c r="C64" s="5">
        <v>1217.8</v>
      </c>
      <c r="D64" s="5">
        <v>1223.0999999999999</v>
      </c>
      <c r="E64" s="5">
        <v>1203</v>
      </c>
      <c r="F64" s="5">
        <v>1203.9000000000001</v>
      </c>
    </row>
    <row r="65" spans="1:6" x14ac:dyDescent="0.25">
      <c r="A65" s="12" t="s">
        <v>78</v>
      </c>
      <c r="B65" s="5">
        <v>3616.6</v>
      </c>
      <c r="C65" s="5">
        <v>3297.2</v>
      </c>
      <c r="D65" s="5">
        <v>3348.2</v>
      </c>
      <c r="E65" s="5">
        <v>3368.1</v>
      </c>
      <c r="F65" s="5">
        <v>3469.7</v>
      </c>
    </row>
    <row r="66" spans="1:6" x14ac:dyDescent="0.25">
      <c r="A66" s="12" t="s">
        <v>37</v>
      </c>
      <c r="B66" s="5">
        <v>1986.7</v>
      </c>
      <c r="C66" s="5">
        <v>1771.8</v>
      </c>
      <c r="D66" s="5">
        <v>1803.9</v>
      </c>
      <c r="E66" s="5">
        <v>1769.9</v>
      </c>
      <c r="F66" s="5">
        <v>1824.8</v>
      </c>
    </row>
    <row r="67" spans="1:6" x14ac:dyDescent="0.25">
      <c r="A67" s="12" t="s">
        <v>38</v>
      </c>
      <c r="B67" s="5">
        <v>1355.7</v>
      </c>
      <c r="C67" s="5">
        <v>1210.2</v>
      </c>
      <c r="D67" s="5">
        <v>1249.5</v>
      </c>
      <c r="E67" s="5">
        <v>1233.7</v>
      </c>
      <c r="F67" s="5">
        <v>1278.9000000000001</v>
      </c>
    </row>
    <row r="68" spans="1:6" x14ac:dyDescent="0.25">
      <c r="A68" s="12" t="s">
        <v>39</v>
      </c>
      <c r="B68" s="5">
        <v>3609.3</v>
      </c>
      <c r="C68" s="5">
        <v>3386.4</v>
      </c>
      <c r="D68" s="5">
        <v>3441</v>
      </c>
      <c r="E68" s="5">
        <v>3414.4</v>
      </c>
      <c r="F68" s="5">
        <v>3451.9</v>
      </c>
    </row>
    <row r="69" spans="1:6" x14ac:dyDescent="0.25">
      <c r="A69" s="12" t="s">
        <v>40</v>
      </c>
      <c r="B69" s="5">
        <v>2406.8000000000002</v>
      </c>
      <c r="C69" s="5">
        <v>2233.1</v>
      </c>
      <c r="D69" s="5">
        <v>2302.9</v>
      </c>
      <c r="E69" s="5">
        <v>2414.3000000000002</v>
      </c>
      <c r="F69" s="5">
        <v>2468.1</v>
      </c>
    </row>
    <row r="70" spans="1:6" x14ac:dyDescent="0.25">
      <c r="A70" s="12" t="s">
        <v>41</v>
      </c>
      <c r="B70" s="5">
        <v>1251.2</v>
      </c>
      <c r="C70" s="5">
        <v>1134</v>
      </c>
      <c r="D70" s="5">
        <v>1136.5</v>
      </c>
      <c r="E70" s="5">
        <v>1173.2</v>
      </c>
      <c r="F70" s="5">
        <v>1168.0999999999999</v>
      </c>
    </row>
    <row r="71" spans="1:6" s="10" customFormat="1" x14ac:dyDescent="0.25">
      <c r="A71" s="11" t="s">
        <v>79</v>
      </c>
      <c r="B71" s="4">
        <v>13567.8</v>
      </c>
      <c r="C71" s="4">
        <v>12715.8</v>
      </c>
      <c r="D71" s="4">
        <v>13004.3</v>
      </c>
      <c r="E71" s="4">
        <v>12981.7</v>
      </c>
      <c r="F71" s="4">
        <v>13417.9</v>
      </c>
    </row>
    <row r="72" spans="1:6" x14ac:dyDescent="0.25">
      <c r="A72" s="12" t="s">
        <v>42</v>
      </c>
      <c r="B72" s="5">
        <v>859.8</v>
      </c>
      <c r="C72" s="5">
        <v>727.4</v>
      </c>
      <c r="D72" s="5">
        <v>716</v>
      </c>
      <c r="E72" s="5">
        <v>718.9</v>
      </c>
      <c r="F72" s="5">
        <v>757.5</v>
      </c>
    </row>
    <row r="73" spans="1:6" x14ac:dyDescent="0.25">
      <c r="A73" s="12" t="s">
        <v>43</v>
      </c>
      <c r="B73" s="5">
        <v>4747.3</v>
      </c>
      <c r="C73" s="5">
        <v>4211.7</v>
      </c>
      <c r="D73" s="5">
        <v>4396.6000000000004</v>
      </c>
      <c r="E73" s="5">
        <v>4368.1000000000004</v>
      </c>
      <c r="F73" s="5">
        <v>4547.2</v>
      </c>
    </row>
    <row r="74" spans="1:6" x14ac:dyDescent="0.25">
      <c r="A74" s="12" t="s">
        <v>44</v>
      </c>
      <c r="B74" s="5">
        <v>4332.3999999999996</v>
      </c>
      <c r="C74" s="5">
        <v>4303</v>
      </c>
      <c r="D74" s="5">
        <v>4346.3999999999996</v>
      </c>
      <c r="E74" s="5">
        <v>4353.1000000000004</v>
      </c>
      <c r="F74" s="5">
        <v>4441.1000000000004</v>
      </c>
    </row>
    <row r="75" spans="1:6" x14ac:dyDescent="0.25">
      <c r="A75" s="14" t="s">
        <v>45</v>
      </c>
      <c r="B75" s="5"/>
      <c r="C75" s="5"/>
      <c r="D75" s="5"/>
      <c r="E75" s="5"/>
      <c r="F75" s="5"/>
    </row>
    <row r="76" spans="1:6" x14ac:dyDescent="0.25">
      <c r="A76" s="15" t="s">
        <v>85</v>
      </c>
      <c r="B76" s="5">
        <v>1952.8</v>
      </c>
      <c r="C76" s="5">
        <v>2010.2</v>
      </c>
      <c r="D76" s="5">
        <v>2034.8</v>
      </c>
      <c r="E76" s="5">
        <v>2027.6</v>
      </c>
      <c r="F76" s="5">
        <v>2083.6</v>
      </c>
    </row>
    <row r="77" spans="1:6" x14ac:dyDescent="0.25">
      <c r="A77" s="15" t="s">
        <v>88</v>
      </c>
      <c r="B77" s="5">
        <v>688.5</v>
      </c>
      <c r="C77" s="5">
        <v>702.1</v>
      </c>
      <c r="D77" s="5">
        <v>717.7</v>
      </c>
      <c r="E77" s="5">
        <v>718.3</v>
      </c>
      <c r="F77" s="5">
        <v>724.6</v>
      </c>
    </row>
    <row r="78" spans="1:6" x14ac:dyDescent="0.25">
      <c r="A78" s="15" t="s">
        <v>105</v>
      </c>
      <c r="B78" s="5">
        <v>1691.1</v>
      </c>
      <c r="C78" s="5">
        <v>1590.7</v>
      </c>
      <c r="D78" s="5">
        <v>1593.9</v>
      </c>
      <c r="E78" s="5">
        <v>1607.2</v>
      </c>
      <c r="F78" s="5">
        <v>1632.9</v>
      </c>
    </row>
    <row r="79" spans="1:6" x14ac:dyDescent="0.25">
      <c r="A79" s="12" t="s">
        <v>46</v>
      </c>
      <c r="B79" s="5">
        <v>3628.2</v>
      </c>
      <c r="C79" s="5">
        <v>3473.7</v>
      </c>
      <c r="D79" s="5">
        <v>3545.4</v>
      </c>
      <c r="E79" s="5">
        <v>3541.6</v>
      </c>
      <c r="F79" s="5">
        <v>3672.1</v>
      </c>
    </row>
    <row r="80" spans="1:6" s="10" customFormat="1" x14ac:dyDescent="0.25">
      <c r="A80" s="11" t="s">
        <v>80</v>
      </c>
      <c r="B80" s="4">
        <v>17726.5</v>
      </c>
      <c r="C80" s="4">
        <v>16454.7</v>
      </c>
      <c r="D80" s="4">
        <v>16660.5</v>
      </c>
      <c r="E80" s="4">
        <v>16776.599999999999</v>
      </c>
      <c r="F80" s="4">
        <v>16835</v>
      </c>
    </row>
    <row r="81" spans="1:6" x14ac:dyDescent="0.25">
      <c r="A81" s="12" t="s">
        <v>47</v>
      </c>
      <c r="B81" s="5">
        <v>214.8</v>
      </c>
      <c r="C81" s="5">
        <v>185.4</v>
      </c>
      <c r="D81" s="5">
        <v>185.7</v>
      </c>
      <c r="E81" s="5">
        <v>187.6</v>
      </c>
      <c r="F81" s="5">
        <v>187.9</v>
      </c>
    </row>
    <row r="82" spans="1:6" x14ac:dyDescent="0.25">
      <c r="A82" s="12" t="s">
        <v>49</v>
      </c>
      <c r="B82" s="5">
        <v>238.7</v>
      </c>
      <c r="C82" s="5">
        <v>228.1</v>
      </c>
      <c r="D82" s="5">
        <v>232.5</v>
      </c>
      <c r="E82" s="5">
        <v>248.2</v>
      </c>
      <c r="F82" s="5">
        <v>245.1</v>
      </c>
    </row>
    <row r="83" spans="1:6" x14ac:dyDescent="0.25">
      <c r="A83" s="12" t="s">
        <v>50</v>
      </c>
      <c r="B83" s="5">
        <v>555.6</v>
      </c>
      <c r="C83" s="5">
        <v>460.8</v>
      </c>
      <c r="D83" s="5">
        <v>480.4</v>
      </c>
      <c r="E83" s="5">
        <v>488.9</v>
      </c>
      <c r="F83" s="5">
        <v>515.6</v>
      </c>
    </row>
    <row r="84" spans="1:6" x14ac:dyDescent="0.25">
      <c r="A84" s="12" t="s">
        <v>51</v>
      </c>
      <c r="B84" s="5">
        <v>2480.1999999999998</v>
      </c>
      <c r="C84" s="5">
        <v>2193.3000000000002</v>
      </c>
      <c r="D84" s="5">
        <v>2184.6999999999998</v>
      </c>
      <c r="E84" s="5">
        <v>2316.1</v>
      </c>
      <c r="F84" s="5">
        <v>2390.4</v>
      </c>
    </row>
    <row r="85" spans="1:6" x14ac:dyDescent="0.25">
      <c r="A85" s="12" t="s">
        <v>53</v>
      </c>
      <c r="B85" s="5">
        <v>3064.3</v>
      </c>
      <c r="C85" s="5">
        <v>2837.4</v>
      </c>
      <c r="D85" s="5">
        <v>2899.4</v>
      </c>
      <c r="E85" s="5">
        <v>2832.3</v>
      </c>
      <c r="F85" s="5">
        <v>2884.5</v>
      </c>
    </row>
    <row r="86" spans="1:6" x14ac:dyDescent="0.25">
      <c r="A86" s="12" t="s">
        <v>54</v>
      </c>
      <c r="B86" s="5">
        <v>2491</v>
      </c>
      <c r="C86" s="5">
        <v>2327.1</v>
      </c>
      <c r="D86" s="5">
        <v>2374.5</v>
      </c>
      <c r="E86" s="5">
        <v>2433.8000000000002</v>
      </c>
      <c r="F86" s="5">
        <v>2395.6</v>
      </c>
    </row>
    <row r="87" spans="1:6" x14ac:dyDescent="0.25">
      <c r="A87" s="12" t="s">
        <v>55</v>
      </c>
      <c r="B87" s="5">
        <v>2784.6</v>
      </c>
      <c r="C87" s="5">
        <v>2408.4</v>
      </c>
      <c r="D87" s="5">
        <v>2416.9</v>
      </c>
      <c r="E87" s="5">
        <v>2424.3000000000002</v>
      </c>
      <c r="F87" s="5">
        <v>2397</v>
      </c>
    </row>
    <row r="88" spans="1:6" x14ac:dyDescent="0.25">
      <c r="A88" s="12" t="s">
        <v>56</v>
      </c>
      <c r="B88" s="5">
        <v>2723.1</v>
      </c>
      <c r="C88" s="5">
        <v>2842.5</v>
      </c>
      <c r="D88" s="5">
        <v>2881.3</v>
      </c>
      <c r="E88" s="5">
        <v>2840.9</v>
      </c>
      <c r="F88" s="5">
        <v>2840.6</v>
      </c>
    </row>
    <row r="89" spans="1:6" x14ac:dyDescent="0.25">
      <c r="A89" s="12" t="s">
        <v>57</v>
      </c>
      <c r="B89" s="5">
        <v>2099.4</v>
      </c>
      <c r="C89" s="5">
        <v>1988.9</v>
      </c>
      <c r="D89" s="5">
        <v>1994.1</v>
      </c>
      <c r="E89" s="5">
        <v>1980.9</v>
      </c>
      <c r="F89" s="5">
        <v>1937.8</v>
      </c>
    </row>
    <row r="90" spans="1:6" x14ac:dyDescent="0.25">
      <c r="A90" s="12" t="s">
        <v>58</v>
      </c>
      <c r="B90" s="5">
        <v>1074.9000000000001</v>
      </c>
      <c r="C90" s="5">
        <v>982.8</v>
      </c>
      <c r="D90" s="5">
        <v>1011</v>
      </c>
      <c r="E90" s="5">
        <v>1023.3</v>
      </c>
      <c r="F90" s="5">
        <v>1040.5</v>
      </c>
    </row>
    <row r="91" spans="1:6" s="10" customFormat="1" x14ac:dyDescent="0.25">
      <c r="A91" s="11" t="s">
        <v>68</v>
      </c>
      <c r="B91" s="4">
        <v>8662.7000000000007</v>
      </c>
      <c r="C91" s="4">
        <v>8046.5</v>
      </c>
      <c r="D91" s="4">
        <v>8127.8</v>
      </c>
      <c r="E91" s="4">
        <v>8088.5</v>
      </c>
      <c r="F91" s="4">
        <v>8216.9</v>
      </c>
    </row>
    <row r="92" spans="1:6" x14ac:dyDescent="0.25">
      <c r="A92" s="12" t="s">
        <v>48</v>
      </c>
      <c r="B92" s="5">
        <v>928.9</v>
      </c>
      <c r="C92" s="5">
        <v>814.9</v>
      </c>
      <c r="D92" s="5">
        <v>838.8</v>
      </c>
      <c r="E92" s="5">
        <v>830.4</v>
      </c>
      <c r="F92" s="5">
        <v>857.5</v>
      </c>
    </row>
    <row r="93" spans="1:6" x14ac:dyDescent="0.25">
      <c r="A93" s="12" t="s">
        <v>67</v>
      </c>
      <c r="B93" s="5">
        <v>991.8</v>
      </c>
      <c r="C93" s="5">
        <v>1020.9</v>
      </c>
      <c r="D93" s="5">
        <v>1027.5</v>
      </c>
      <c r="E93" s="5">
        <v>1055.4000000000001</v>
      </c>
      <c r="F93" s="5">
        <v>1086.5</v>
      </c>
    </row>
    <row r="94" spans="1:6" x14ac:dyDescent="0.25">
      <c r="A94" s="12" t="s">
        <v>52</v>
      </c>
      <c r="B94" s="5">
        <v>1015.6</v>
      </c>
      <c r="C94" s="5">
        <v>883.4</v>
      </c>
      <c r="D94" s="5">
        <v>893.3</v>
      </c>
      <c r="E94" s="5">
        <v>869.4</v>
      </c>
      <c r="F94" s="5">
        <v>854.1</v>
      </c>
    </row>
    <row r="95" spans="1:6" x14ac:dyDescent="0.25">
      <c r="A95" s="12" t="s">
        <v>59</v>
      </c>
      <c r="B95" s="5">
        <v>344.6</v>
      </c>
      <c r="C95" s="5">
        <v>318.5</v>
      </c>
      <c r="D95" s="5">
        <v>326</v>
      </c>
      <c r="E95" s="5">
        <v>307.5</v>
      </c>
      <c r="F95" s="5">
        <v>317</v>
      </c>
    </row>
    <row r="96" spans="1:6" x14ac:dyDescent="0.25">
      <c r="A96" s="12" t="s">
        <v>60</v>
      </c>
      <c r="B96" s="5">
        <v>2094.5</v>
      </c>
      <c r="C96" s="5">
        <v>1957.9</v>
      </c>
      <c r="D96" s="5">
        <v>1981.6</v>
      </c>
      <c r="E96" s="5">
        <v>1968.2</v>
      </c>
      <c r="F96" s="5">
        <v>1985.2</v>
      </c>
    </row>
    <row r="97" spans="1:6" x14ac:dyDescent="0.25">
      <c r="A97" s="12" t="s">
        <v>61</v>
      </c>
      <c r="B97" s="5">
        <v>1417.5</v>
      </c>
      <c r="C97" s="5">
        <v>1340.2</v>
      </c>
      <c r="D97" s="5">
        <v>1361.4</v>
      </c>
      <c r="E97" s="5">
        <v>1354.8</v>
      </c>
      <c r="F97" s="5">
        <v>1378.1</v>
      </c>
    </row>
    <row r="98" spans="1:6" x14ac:dyDescent="0.25">
      <c r="A98" s="12" t="s">
        <v>62</v>
      </c>
      <c r="B98" s="5">
        <v>845.3</v>
      </c>
      <c r="C98" s="5">
        <v>789.9</v>
      </c>
      <c r="D98" s="5">
        <v>785.8</v>
      </c>
      <c r="E98" s="5">
        <v>789</v>
      </c>
      <c r="F98" s="5">
        <v>822</v>
      </c>
    </row>
    <row r="99" spans="1:6" x14ac:dyDescent="0.25">
      <c r="A99" s="12" t="s">
        <v>63</v>
      </c>
      <c r="B99" s="5">
        <v>189.2</v>
      </c>
      <c r="C99" s="5">
        <v>170.6</v>
      </c>
      <c r="D99" s="5">
        <v>172.4</v>
      </c>
      <c r="E99" s="5">
        <v>165.6</v>
      </c>
      <c r="F99" s="5">
        <v>160.4</v>
      </c>
    </row>
    <row r="100" spans="1:6" x14ac:dyDescent="0.25">
      <c r="A100" s="12" t="s">
        <v>64</v>
      </c>
      <c r="B100" s="5">
        <v>594</v>
      </c>
      <c r="C100" s="5">
        <v>548.20000000000005</v>
      </c>
      <c r="D100" s="5">
        <v>538.5</v>
      </c>
      <c r="E100" s="5">
        <v>547.4</v>
      </c>
      <c r="F100" s="5">
        <v>560.79999999999995</v>
      </c>
    </row>
    <row r="101" spans="1:6" x14ac:dyDescent="0.25">
      <c r="A101" s="12" t="s">
        <v>65</v>
      </c>
      <c r="B101" s="5">
        <v>170</v>
      </c>
      <c r="C101" s="5">
        <v>140.30000000000001</v>
      </c>
      <c r="D101" s="5">
        <v>136.80000000000001</v>
      </c>
      <c r="E101" s="5">
        <v>136.4</v>
      </c>
      <c r="F101" s="5">
        <v>132.30000000000001</v>
      </c>
    </row>
    <row r="102" spans="1:6" ht="15.75" thickBot="1" x14ac:dyDescent="0.3">
      <c r="A102" s="16" t="s">
        <v>66</v>
      </c>
      <c r="B102" s="17">
        <v>71.400000000000006</v>
      </c>
      <c r="C102" s="5">
        <v>61.5</v>
      </c>
      <c r="D102" s="5">
        <v>65.7</v>
      </c>
      <c r="E102" s="5">
        <v>64.5</v>
      </c>
      <c r="F102" s="5">
        <v>62.9</v>
      </c>
    </row>
    <row r="103" spans="1:6" ht="15" customHeight="1" x14ac:dyDescent="0.25">
      <c r="A103" s="51" t="s">
        <v>133</v>
      </c>
      <c r="B103" s="51"/>
      <c r="C103" s="51"/>
      <c r="D103" s="51"/>
      <c r="E103" s="51"/>
      <c r="F103" s="51"/>
    </row>
    <row r="104" spans="1:6" x14ac:dyDescent="0.25">
      <c r="A104" s="6"/>
      <c r="B104" s="6"/>
    </row>
  </sheetData>
  <mergeCells count="3">
    <mergeCell ref="A2:F2"/>
    <mergeCell ref="A3:F3"/>
    <mergeCell ref="A103:F103"/>
  </mergeCells>
  <hyperlinks>
    <hyperlink ref="A1" location="Содержание!A1" display="К содержанию"/>
  </hyperlinks>
  <pageMargins left="0.51181102362204722" right="0.35433070866141736" top="0.74803149606299213" bottom="0.74803149606299213" header="0.31496062992125984" footer="0.31496062992125984"/>
  <pageSetup paperSize="9" scale="93" orientation="portrait" r:id="rId1"/>
  <rowBreaks count="1" manualBreakCount="1">
    <brk id="50" max="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Содержание</vt:lpstr>
      <vt:lpstr>Т_3.1.</vt:lpstr>
      <vt:lpstr>Т_3.2.</vt:lpstr>
      <vt:lpstr>Т_3.3.</vt:lpstr>
      <vt:lpstr>T_3.4</vt:lpstr>
      <vt:lpstr>T_3.4!Заголовки_для_печати</vt:lpstr>
      <vt:lpstr>Т_3.1.!Заголовки_для_печати</vt:lpstr>
      <vt:lpstr>Т_3.2.!Заголовки_для_печати</vt:lpstr>
      <vt:lpstr>Т_3.3.!Заголовки_для_печати</vt:lpstr>
      <vt:lpstr>Т_3.2.!Область_печати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Базескин Дмитрий Сергеевич</dc:creator>
  <cp:lastModifiedBy>Авечкина Татьяна Павловна</cp:lastModifiedBy>
  <cp:lastPrinted>2025-08-22T11:33:00Z</cp:lastPrinted>
  <dcterms:created xsi:type="dcterms:W3CDTF">2015-09-08T10:19:33Z</dcterms:created>
  <dcterms:modified xsi:type="dcterms:W3CDTF">2025-12-15T11:16:54Z</dcterms:modified>
</cp:coreProperties>
</file>
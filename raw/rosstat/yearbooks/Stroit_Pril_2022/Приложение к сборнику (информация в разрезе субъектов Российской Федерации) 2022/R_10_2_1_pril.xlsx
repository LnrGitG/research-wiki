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470" windowWidth="19410" windowHeight="11010" activeTab="4"/>
  </bookViews>
  <sheets>
    <sheet name="2.1." sheetId="1" r:id="rId1"/>
    <sheet name="2.2." sheetId="6" r:id="rId2"/>
    <sheet name="2.3." sheetId="3" r:id="rId3"/>
    <sheet name="2.4." sheetId="4" r:id="rId4"/>
    <sheet name="2.5." sheetId="5" r:id="rId5"/>
  </sheets>
  <definedNames>
    <definedName name="_xlnm.Print_Titles" localSheetId="0">'2.1.'!$A:$A,'2.1.'!$3:$3</definedName>
    <definedName name="_xlnm.Print_Titles" localSheetId="1">'2.2.'!$A:$A,'2.2.'!$3:$4</definedName>
    <definedName name="_xlnm.Print_Titles" localSheetId="2">'2.3.'!$3:$3</definedName>
    <definedName name="_xlnm.Print_Titles" localSheetId="3">'2.4.'!$A:$A,'2.4.'!$3:$4</definedName>
    <definedName name="_xlnm.Print_Titles" localSheetId="4">'2.5.'!$A:$A,'2.5.'!$3:$3</definedName>
    <definedName name="_xlnm.Print_Area" localSheetId="3">'2.4.'!$A$1:$BA$104</definedName>
  </definedNames>
  <calcPr calcId="145621"/>
</workbook>
</file>

<file path=xl/calcChain.xml><?xml version="1.0" encoding="utf-8"?>
<calcChain xmlns="http://schemas.openxmlformats.org/spreadsheetml/2006/main">
  <c r="D77" i="1" l="1"/>
  <c r="C77" i="1"/>
  <c r="B77" i="1"/>
  <c r="D30" i="1"/>
  <c r="C30" i="1"/>
  <c r="B30" i="1"/>
</calcChain>
</file>

<file path=xl/sharedStrings.xml><?xml version="1.0" encoding="utf-8"?>
<sst xmlns="http://schemas.openxmlformats.org/spreadsheetml/2006/main" count="709" uniqueCount="162">
  <si>
    <t>(в фактически действовавших ценах; миллионов рублей)</t>
  </si>
  <si>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</si>
  <si>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</si>
  <si>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</si>
  <si>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</si>
  <si>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</si>
  <si>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</si>
  <si>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</si>
  <si>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</si>
  <si>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</si>
  <si>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</si>
  <si>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</si>
  <si>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</si>
  <si>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</si>
  <si>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</si>
  <si>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</si>
  <si>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</si>
  <si>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</si>
  <si>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</si>
  <si>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</si>
  <si>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</si>
  <si>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</si>
  <si>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</si>
  <si>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</si>
  <si>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</si>
  <si>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</si>
  <si>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</si>
  <si>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</si>
  <si>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</si>
  <si>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</si>
  <si>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</si>
  <si>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</si>
  <si>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</si>
  <si>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</si>
  <si>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</si>
  <si>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</si>
  <si>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</si>
  <si>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</si>
  <si>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Республика Северная Осетия - Алания</t>
  </si>
  <si>
    <t>…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</si>
  <si>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</si>
  <si>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</si>
  <si>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</si>
  <si>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</si>
  <si>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</si>
  <si>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</si>
  <si>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</si>
  <si>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</si>
  <si>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</si>
  <si>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</si>
  <si>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</si>
  <si>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</si>
  <si>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</si>
  <si>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</si>
  <si>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</si>
  <si>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</si>
  <si>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</si>
  <si>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</si>
  <si>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</si>
  <si>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</si>
  <si>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</si>
  <si>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</si>
  <si>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</si>
  <si>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</si>
  <si>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</si>
  <si>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</si>
  <si>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 xml:space="preserve">Забайкальский край 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</si>
  <si>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</si>
  <si>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</si>
  <si>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</si>
  <si>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</si>
  <si>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</si>
  <si>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</si>
  <si>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</si>
  <si>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</si>
  <si>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</si>
  <si>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</si>
  <si>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</si>
  <si>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</si>
  <si>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</si>
  <si>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</si>
  <si>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Кабардино-Балкарская Республика</t>
  </si>
  <si>
    <t>Карачаево-Черкесская Республика</t>
  </si>
  <si>
    <t>Тюменская область без автономных округов</t>
  </si>
  <si>
    <t>Архангельская область без автономного округа</t>
  </si>
  <si>
    <t>Ханты-Мансийский автономный округ – Югра</t>
  </si>
  <si>
    <t>(в процентах)</t>
  </si>
  <si>
    <t xml:space="preserve">Республика Ингушетия </t>
  </si>
  <si>
    <t xml:space="preserve">Чеченская Республика </t>
  </si>
  <si>
    <t>Частная</t>
  </si>
  <si>
    <t>-</t>
  </si>
  <si>
    <t>Забайкальский край</t>
  </si>
  <si>
    <t>Ненецкий автономный округ</t>
  </si>
  <si>
    <t>Чеченская Республика</t>
  </si>
  <si>
    <t>(в процентах от общего объема затрат)</t>
  </si>
  <si>
    <t>Материальные затраты</t>
  </si>
  <si>
    <t>Затраты на оплату труда</t>
  </si>
  <si>
    <t>Амортизация основных средств</t>
  </si>
  <si>
    <t>Государст-венная</t>
  </si>
  <si>
    <t>Смешанная российская</t>
  </si>
  <si>
    <t>(фактические затраты; копеек на один рубль выполненных работ)</t>
  </si>
  <si>
    <t>Южный                                                                          федеральный округ</t>
  </si>
  <si>
    <t>Центральный                                                        федеральный округ</t>
  </si>
  <si>
    <t>Северо-Западный                                                   федеральный округ</t>
  </si>
  <si>
    <t>Южный                                                               федеральный округ</t>
  </si>
  <si>
    <t>Северо-Кавказский                                                               федеральный округ</t>
  </si>
  <si>
    <t>Приволжский                                                                            федеральный округ</t>
  </si>
  <si>
    <t>Уральский                                                                     федеральный округ</t>
  </si>
  <si>
    <t>Центральный                                                                федеральный округ</t>
  </si>
  <si>
    <t>Северо-Западный                                                             федеральный округ</t>
  </si>
  <si>
    <t>Северо-Кавказский                                                         федеральный округ</t>
  </si>
  <si>
    <t>Приволжский                                                                   федеральный округ</t>
  </si>
  <si>
    <t>Уральский                                                                                   федеральный округ</t>
  </si>
  <si>
    <t>Северо-Кавказский                          федеральный округ</t>
  </si>
  <si>
    <t>Приволжский                                                     федеральный округ</t>
  </si>
  <si>
    <t>Уральский                                                               федеральный округ</t>
  </si>
  <si>
    <t>Республика Крым</t>
  </si>
  <si>
    <t>г.Севастополь</t>
  </si>
  <si>
    <t>0,0</t>
  </si>
  <si>
    <r>
      <t>3420,2</t>
    </r>
    <r>
      <rPr>
        <vertAlign val="superscript"/>
        <sz val="7"/>
        <rFont val="Arial"/>
        <family val="2"/>
        <charset val="204"/>
      </rPr>
      <t>1)</t>
    </r>
  </si>
  <si>
    <t>2.1. ОБЪЕМ РАБОТ, ВЫПОЛНЕННЫХ ПО ВИДУ  ЭКОНОМИЧЕСКОЙ ДЕЯТЕЛЬНОСТИ «СТРОИТЕЛЬСТВО»</t>
  </si>
  <si>
    <t>Южный  федеральный округ</t>
  </si>
  <si>
    <r>
      <t>Сибирский                                                                   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</si>
  <si>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Дальневосточный                                         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</si>
  <si>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Сибирский                                                                         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</si>
  <si>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Дальневосточный                                                                               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</si>
  <si>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за  2005, 2010-2017 гг. по Сибирскому и Дальневосточному федеральным округам  приведены в составе субъектов Российской Федерации  до вступления в силу Указа Президента Российской Федерации от 3 ноября 2018 г. № 632.</t>
    </r>
  </si>
  <si>
    <r>
      <t>Страховые взносы в Пенсионный фонд,ФСС, ФФОМС</t>
    </r>
    <r>
      <rPr>
        <b/>
        <vertAlign val="superscript"/>
        <sz val="7"/>
        <rFont val="Arial"/>
        <family val="2"/>
        <charset val="204"/>
      </rPr>
      <t>2)</t>
    </r>
  </si>
  <si>
    <t>г. Севастополь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</si>
  <si>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По данным федеральных органов исполнительной власти, принимавших участие в восстановлении экономики и социальной сферы Чеченской Республики.</t>
    </r>
  </si>
  <si>
    <t xml:space="preserve">2.3. ЗАТРАТЫ НА ПРОИЗВОДСТВО РАБОТ ПО ВИДУ ЭКОНОМИЧЕСКОЙ ДЕЯТЕЛЬНОСТИ "СТРОИТЕЛЬСТВО" </t>
  </si>
  <si>
    <t xml:space="preserve">2.2. РАСПРЕДЕЛЕНИЕ ОБЪЕМА РАБОТ, ВЫПОЛНЕННЫХ ПО ВИДУ ЭКОНОМИЧЕСКОЙ ДЕЯТЕЛЬНОСТИ «СТРОИТЕЛЬСТВО», ПО ОТДЕЛЬНЫМ ФОРМАМ СОБСТВЕННОСТИ </t>
  </si>
  <si>
    <r>
      <t>2.5. ИНДЕКС ПРЕДПРИНИМАТЕЛЬСКОЙ УВЕРЕННОСТИ В СТРОИТЕЛЬСТВЕ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</si>
  <si>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Индекс предпринимательской уверенности  рассчитывается по результатам обследования деловой активности строительных организаций. Он  определяется как среднее арифметическое значение «балансов» оценок уровня производственной программы и ожидаемых изменений численности занятых. «Баланс» представляет собой разницу между процентом положительных и процентом отрицательных ответов. В рамках обследования проводится однократное взвешивание ответов респондентов по числу занятых и распространение итогов до всей совокупности единиц статистического наблюдения.</t>
    </r>
  </si>
  <si>
    <t>2.4. СТРУКТУРА ЗАТРАТ НА ПРОИЗВОДСТВО РАБОТ ПО ВИДУ ЭКОНОМИЧЕСКОЙ ДЕЯТЕЛЬНОСТИ "СТРОИТЕЛЬСТВО"</t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</si>
  <si>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2005 г. - единый социальный налог,  2010 - 2013 гг. -  страховые взносы в Пенсионный фонд, ФСС, ФФОМС, ТФОМС.</t>
    </r>
  </si>
  <si>
    <t>Центральный                                                                             федеральный округ</t>
  </si>
  <si>
    <t>Северо-Западный                                       федеральный округ</t>
  </si>
  <si>
    <t>Северо-Кавказский                                               федеральный округ</t>
  </si>
  <si>
    <t>Приволжский                                                           федеральный округ</t>
  </si>
  <si>
    <t>Уральский                                                          федеральный округ</t>
  </si>
  <si>
    <t>Сибирский                                                                      федеральный округ</t>
  </si>
  <si>
    <t>Дальневосточный                                                                   федеральный округ</t>
  </si>
  <si>
    <t xml:space="preserve">   в том числе:</t>
  </si>
  <si>
    <t>Северо-Западный
 федеральный округ</t>
  </si>
  <si>
    <t>Северо-Кавказский
федеральный округ</t>
  </si>
  <si>
    <t>Приволжский
федеральный округ</t>
  </si>
  <si>
    <t>Уральский
федеральный округ</t>
  </si>
  <si>
    <r>
      <t>Сибирский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</si>
  <si>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Дальневосточный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</si>
  <si>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t>Центральный
 федеральный округ</t>
  </si>
  <si>
    <t>Южный                                федеральный округ</t>
  </si>
  <si>
    <t>Архангельская область без 
автономного округа</t>
  </si>
  <si>
    <t>Ханты-Мансийский автономный округ - 
Югра</t>
  </si>
  <si>
    <t>Тюменская область без 
автономных округов</t>
  </si>
  <si>
    <t>Центральный 
федеральный округ</t>
  </si>
  <si>
    <t>Кемеровская область - Кузбасс</t>
  </si>
  <si>
    <r>
      <t>Сибирский                                                                      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</si>
  <si>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Дальневосточный                                                                 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</si>
  <si>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за 2000, 2005, 2010-2017 гг. по Сибирскому и Дальневосточному федеральным округам  приведены в составе субъектов Российской Федерации  до вступления в силу Указа Президента Российской Федерации от 3 ноября 2018 г. № 632.</t>
    </r>
  </si>
  <si>
    <t xml:space="preserve"> …</t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</si>
  <si>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за 2000, 2005, 2010-2017 гг. по Сибирскому и Дальневосточному федеральным округам  приведены в составе субъектов Российской Федерации  до вступления в силу Указа Президента Российской Федерации от 3 ноября 2018 г. 
№ 632.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</si>
</sst>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.00_р_._-;\-* #,##0.00_р_._-;_-* &quot;-&quot;??_р_._-;_-@_-"/>
    <numFmt numFmtId="168" formatCode="0.0"/>
    <numFmt numFmtId="169" formatCode="#,##0.0"/>
    <numFmt numFmtId="170" formatCode="[&gt;=0.05]##0.0;[&lt;0.05]##0.00"/>
    <numFmt numFmtId="171" formatCode="[&gt;=0.05]##0;[&lt;0.05]##0.0"/>
  </numFmts>
  <fonts count="35" x14ac:knownFonts="1">
    <font>
      <sz val="11"/>
      <color theme="1"/>
      <name val="Calibri"/>
      <family val="2"/>
      <charset val="204"/>
      <scheme val="minor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vertAlign val="superscript"/>
      <sz val="7"/>
      <name val="Arial"/>
      <family val="2"/>
      <charset val="204"/>
    </font>
    <font>
      <b/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vertAlign val="superscript"/>
      <sz val="8"/>
      <name val="Arial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0"/>
      <name val="Arial Cyr"/>
      <charset val="204"/>
    </font>
    <font>
      <sz val="11"/>
      <color indexed="10"/>
      <name val="Calibri"/>
      <family val="2"/>
      <charset val="204"/>
      <scheme val="minor"/>
    </font>
    <font>
      <b/>
      <sz val="18"/>
      <color theme="3"/>
      <name val="Cambria"/>
      <family val="2"/>
      <charset val="204"/>
    </font>
    <font>
      <b/>
      <sz val="11"/>
      <color indexed="9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11"/>
      <color indexed="9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vertAlign val="superscript"/>
      <sz val="7"/>
      <name val="Arial"/>
      <family val="2"/>
      <charset val="204"/>
    </font>
    <font>
      <b/>
      <sz val="8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8"/>
      <name val="Calibri"/>
      <family val="2"/>
      <charset val="204"/>
    </font>
    <font>
      <sz val="10"/>
      <name val="Arial"/>
      <family val="2"/>
      <charset val="204"/>
    </font>
    <font>
      <b/>
      <sz val="7"/>
      <name val="Calibri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</fills>
  <borders count="112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3"/>
      </right>
      <top style="thin">
        <color indexed="64"/>
      </top>
      <bottom/>
      <diagonal/>
    </border>
    <border>
      <left style="thin">
        <color indexed="64"/>
      </left>
      <right style="thin">
        <color indexed="63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3">
    <xf numFmtId="0" fontId="0" fillId="0" borderId="0"/>
    <xf numFmtId="0" fontId="8" fillId="0" borderId="0"/>
    <xf numFmtId="0" fontId="21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16" fillId="26" borderId="21" applyNumberFormat="0" applyAlignment="0" applyProtection="0"/>
    <xf numFmtId="0" fontId="17" fillId="27" borderId="22" applyNumberFormat="0" applyAlignment="0" applyProtection="0"/>
    <xf numFmtId="0" fontId="18" fillId="27" borderId="21" applyNumberFormat="0" applyAlignment="0" applyProtection="0"/>
    <xf numFmtId="166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10" fillId="0" borderId="19" applyNumberFormat="0" applyFill="0" applyAlignment="0" applyProtection="0"/>
    <xf numFmtId="0" fontId="11" fillId="0" borderId="27" applyNumberFormat="0" applyFill="0" applyAlignment="0" applyProtection="0"/>
    <xf numFmtId="0" fontId="12" fillId="0" borderId="20" applyNumberFormat="0" applyFill="0" applyAlignment="0" applyProtection="0"/>
    <xf numFmtId="0" fontId="12" fillId="0" borderId="0" applyNumberFormat="0" applyFill="0" applyBorder="0" applyAlignment="0" applyProtection="0"/>
    <xf numFmtId="0" fontId="25" fillId="0" borderId="26" applyNumberFormat="0" applyFill="0" applyAlignment="0" applyProtection="0"/>
    <xf numFmtId="0" fontId="24" fillId="28" borderId="24" applyNumberFormat="0" applyAlignment="0" applyProtection="0"/>
    <xf numFmtId="0" fontId="23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4" fillId="30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31" borderId="25" applyNumberFormat="0" applyFont="0" applyAlignment="0" applyProtection="0"/>
    <xf numFmtId="9" fontId="21" fillId="0" borderId="0" applyFont="0" applyFill="0" applyBorder="0" applyAlignment="0" applyProtection="0"/>
    <xf numFmtId="0" fontId="19" fillId="0" borderId="23" applyNumberFormat="0" applyFill="0" applyAlignment="0" applyProtection="0"/>
    <xf numFmtId="0" fontId="22" fillId="0" borderId="0" applyNumberFormat="0" applyFill="0" applyBorder="0" applyAlignment="0" applyProtection="0"/>
    <xf numFmtId="16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13" fillId="32" borderId="0" applyNumberFormat="0" applyBorder="0" applyAlignment="0" applyProtection="0"/>
    <xf numFmtId="0" fontId="21" fillId="0" borderId="0"/>
    <xf numFmtId="0" fontId="33" fillId="0" borderId="0"/>
    <xf numFmtId="0" fontId="21" fillId="0" borderId="0"/>
    <xf numFmtId="0" fontId="33" fillId="0" borderId="0"/>
  </cellStyleXfs>
  <cellXfs count="530">
    <xf numFmtId="0" fontId="0" fillId="0" borderId="0" xfId="0"/>
    <xf numFmtId="1" fontId="2" fillId="0" borderId="0" xfId="0" applyNumberFormat="1" applyFont="1" applyBorder="1" applyAlignment="1">
      <alignment horizontal="right" indent="1"/>
    </xf>
    <xf numFmtId="0" fontId="5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7" fillId="0" borderId="0" xfId="0" applyFont="1" applyBorder="1"/>
    <xf numFmtId="0" fontId="5" fillId="0" borderId="0" xfId="0" applyFont="1" applyAlignment="1"/>
    <xf numFmtId="0" fontId="6" fillId="0" borderId="11" xfId="0" applyFont="1" applyBorder="1" applyAlignment="1">
      <alignment vertical="center"/>
    </xf>
    <xf numFmtId="0" fontId="5" fillId="0" borderId="0" xfId="0" applyFont="1" applyBorder="1"/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168" fontId="5" fillId="0" borderId="0" xfId="0" applyNumberFormat="1" applyFont="1"/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/>
    <xf numFmtId="0" fontId="7" fillId="0" borderId="0" xfId="0" applyFont="1" applyFill="1" applyBorder="1" applyAlignment="1">
      <alignment wrapText="1"/>
    </xf>
    <xf numFmtId="0" fontId="7" fillId="0" borderId="0" xfId="0" applyFont="1" applyFill="1" applyAlignment="1">
      <alignment wrapText="1"/>
    </xf>
    <xf numFmtId="0" fontId="6" fillId="0" borderId="0" xfId="0" applyFont="1" applyFill="1"/>
    <xf numFmtId="0" fontId="7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5" fillId="0" borderId="0" xfId="0" applyFont="1" applyFill="1"/>
    <xf numFmtId="0" fontId="31" fillId="0" borderId="0" xfId="0" applyFont="1" applyFill="1"/>
    <xf numFmtId="0" fontId="4" fillId="0" borderId="7" xfId="0" applyFont="1" applyBorder="1" applyAlignment="1">
      <alignment horizontal="center" vertical="center" wrapText="1"/>
    </xf>
    <xf numFmtId="0" fontId="31" fillId="0" borderId="0" xfId="0" applyFont="1"/>
    <xf numFmtId="0" fontId="28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vertical="center" wrapText="1" indent="2"/>
    </xf>
    <xf numFmtId="0" fontId="2" fillId="0" borderId="2" xfId="0" applyFont="1" applyBorder="1" applyAlignment="1">
      <alignment horizontal="right" vertical="center" wrapText="1" indent="2"/>
    </xf>
    <xf numFmtId="0" fontId="2" fillId="0" borderId="5" xfId="0" applyFont="1" applyBorder="1" applyAlignment="1">
      <alignment horizontal="right" vertical="center" wrapText="1" indent="2"/>
    </xf>
    <xf numFmtId="0" fontId="7" fillId="0" borderId="0" xfId="0" applyFont="1" applyFill="1"/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31" fillId="0" borderId="0" xfId="0" applyFont="1" applyAlignment="1">
      <alignment horizontal="center"/>
    </xf>
    <xf numFmtId="168" fontId="1" fillId="0" borderId="14" xfId="0" applyNumberFormat="1" applyFont="1" applyBorder="1" applyAlignment="1">
      <alignment horizontal="right"/>
    </xf>
    <xf numFmtId="0" fontId="2" fillId="0" borderId="35" xfId="0" applyFont="1" applyBorder="1" applyAlignment="1">
      <alignment horizontal="left" wrapText="1"/>
    </xf>
    <xf numFmtId="168" fontId="2" fillId="0" borderId="33" xfId="0" applyNumberFormat="1" applyFont="1" applyBorder="1" applyAlignment="1">
      <alignment horizontal="right" indent="1"/>
    </xf>
    <xf numFmtId="168" fontId="2" fillId="0" borderId="36" xfId="0" applyNumberFormat="1" applyFont="1" applyBorder="1" applyAlignment="1">
      <alignment horizontal="right" indent="1"/>
    </xf>
    <xf numFmtId="168" fontId="2" fillId="0" borderId="16" xfId="0" applyNumberFormat="1" applyFont="1" applyBorder="1" applyAlignment="1">
      <alignment horizontal="right" indent="1"/>
    </xf>
    <xf numFmtId="168" fontId="2" fillId="0" borderId="12" xfId="0" applyNumberFormat="1" applyFont="1" applyBorder="1" applyAlignment="1">
      <alignment horizontal="right" indent="1"/>
    </xf>
    <xf numFmtId="168" fontId="2" fillId="0" borderId="3" xfId="0" applyNumberFormat="1" applyFont="1" applyBorder="1" applyAlignment="1">
      <alignment horizontal="right" indent="1"/>
    </xf>
    <xf numFmtId="168" fontId="2" fillId="0" borderId="10" xfId="0" applyNumberFormat="1" applyFont="1" applyBorder="1" applyAlignment="1">
      <alignment horizontal="right" indent="1"/>
    </xf>
    <xf numFmtId="168" fontId="2" fillId="0" borderId="34" xfId="0" applyNumberFormat="1" applyFont="1" applyBorder="1" applyAlignment="1">
      <alignment horizontal="right" indent="1"/>
    </xf>
    <xf numFmtId="168" fontId="2" fillId="0" borderId="37" xfId="0" applyNumberFormat="1" applyFont="1" applyBorder="1" applyAlignment="1">
      <alignment horizontal="right" indent="1"/>
    </xf>
    <xf numFmtId="168" fontId="2" fillId="0" borderId="30" xfId="0" applyNumberFormat="1" applyFont="1" applyBorder="1" applyAlignment="1">
      <alignment horizontal="right" indent="1"/>
    </xf>
    <xf numFmtId="168" fontId="1" fillId="0" borderId="33" xfId="0" applyNumberFormat="1" applyFont="1" applyBorder="1" applyAlignment="1">
      <alignment horizontal="right" indent="1"/>
    </xf>
    <xf numFmtId="168" fontId="1" fillId="0" borderId="36" xfId="0" applyNumberFormat="1" applyFont="1" applyBorder="1" applyAlignment="1">
      <alignment horizontal="right" indent="1"/>
    </xf>
    <xf numFmtId="168" fontId="1" fillId="0" borderId="38" xfId="0" applyNumberFormat="1" applyFont="1" applyBorder="1" applyAlignment="1">
      <alignment horizontal="right" indent="1"/>
    </xf>
    <xf numFmtId="168" fontId="1" fillId="0" borderId="0" xfId="0" applyNumberFormat="1" applyFont="1" applyBorder="1" applyAlignment="1">
      <alignment horizontal="right" indent="1"/>
    </xf>
    <xf numFmtId="168" fontId="1" fillId="0" borderId="37" xfId="0" applyNumberFormat="1" applyFont="1" applyBorder="1" applyAlignment="1">
      <alignment horizontal="right" indent="1"/>
    </xf>
    <xf numFmtId="168" fontId="1" fillId="0" borderId="34" xfId="0" applyNumberFormat="1" applyFont="1" applyBorder="1" applyAlignment="1">
      <alignment horizontal="right" indent="1"/>
    </xf>
    <xf numFmtId="168" fontId="1" fillId="0" borderId="39" xfId="0" applyNumberFormat="1" applyFont="1" applyBorder="1" applyAlignment="1">
      <alignment horizontal="right" indent="1"/>
    </xf>
    <xf numFmtId="168" fontId="1" fillId="0" borderId="40" xfId="0" applyNumberFormat="1" applyFont="1" applyBorder="1" applyAlignment="1">
      <alignment horizontal="right" indent="1"/>
    </xf>
    <xf numFmtId="168" fontId="1" fillId="0" borderId="13" xfId="0" applyNumberFormat="1" applyFont="1" applyBorder="1" applyAlignment="1">
      <alignment horizontal="right" indent="1"/>
    </xf>
    <xf numFmtId="168" fontId="1" fillId="0" borderId="41" xfId="0" applyNumberFormat="1" applyFont="1" applyBorder="1" applyAlignment="1">
      <alignment horizontal="right" indent="1"/>
    </xf>
    <xf numFmtId="168" fontId="1" fillId="0" borderId="42" xfId="0" applyNumberFormat="1" applyFont="1" applyBorder="1" applyAlignment="1">
      <alignment horizontal="right" indent="1"/>
    </xf>
    <xf numFmtId="168" fontId="1" fillId="0" borderId="43" xfId="0" applyNumberFormat="1" applyFont="1" applyBorder="1" applyAlignment="1">
      <alignment horizontal="right" indent="1"/>
    </xf>
    <xf numFmtId="168" fontId="1" fillId="0" borderId="44" xfId="0" applyNumberFormat="1" applyFont="1" applyBorder="1" applyAlignment="1">
      <alignment horizontal="right" indent="1"/>
    </xf>
    <xf numFmtId="168" fontId="1" fillId="0" borderId="45" xfId="0" applyNumberFormat="1" applyFont="1" applyBorder="1" applyAlignment="1">
      <alignment horizontal="right" indent="1"/>
    </xf>
    <xf numFmtId="168" fontId="1" fillId="0" borderId="46" xfId="0" applyNumberFormat="1" applyFont="1" applyBorder="1" applyAlignment="1">
      <alignment horizontal="right" indent="1"/>
    </xf>
    <xf numFmtId="168" fontId="1" fillId="0" borderId="47" xfId="0" applyNumberFormat="1" applyFont="1" applyBorder="1" applyAlignment="1">
      <alignment horizontal="right" indent="1"/>
    </xf>
    <xf numFmtId="168" fontId="1" fillId="0" borderId="48" xfId="0" applyNumberFormat="1" applyFont="1" applyBorder="1" applyAlignment="1">
      <alignment horizontal="right" indent="1"/>
    </xf>
    <xf numFmtId="168" fontId="1" fillId="0" borderId="49" xfId="0" applyNumberFormat="1" applyFont="1" applyBorder="1" applyAlignment="1">
      <alignment horizontal="right" indent="1"/>
    </xf>
    <xf numFmtId="168" fontId="1" fillId="0" borderId="50" xfId="0" applyNumberFormat="1" applyFont="1" applyBorder="1" applyAlignment="1">
      <alignment horizontal="right" indent="1"/>
    </xf>
    <xf numFmtId="168" fontId="1" fillId="0" borderId="51" xfId="0" applyNumberFormat="1" applyFont="1" applyBorder="1" applyAlignment="1">
      <alignment horizontal="right" indent="1"/>
    </xf>
    <xf numFmtId="168" fontId="1" fillId="0" borderId="52" xfId="0" applyNumberFormat="1" applyFont="1" applyBorder="1" applyAlignment="1">
      <alignment horizontal="right" indent="1"/>
    </xf>
    <xf numFmtId="168" fontId="1" fillId="0" borderId="53" xfId="0" applyNumberFormat="1" applyFont="1" applyBorder="1" applyAlignment="1">
      <alignment horizontal="right" indent="1"/>
    </xf>
    <xf numFmtId="168" fontId="1" fillId="0" borderId="54" xfId="0" applyNumberFormat="1" applyFont="1" applyBorder="1" applyAlignment="1">
      <alignment horizontal="right" indent="1"/>
    </xf>
    <xf numFmtId="168" fontId="1" fillId="0" borderId="55" xfId="0" applyNumberFormat="1" applyFont="1" applyBorder="1" applyAlignment="1">
      <alignment horizontal="right" indent="1"/>
    </xf>
    <xf numFmtId="168" fontId="1" fillId="0" borderId="56" xfId="0" applyNumberFormat="1" applyFont="1" applyBorder="1" applyAlignment="1">
      <alignment horizontal="right" indent="1"/>
    </xf>
    <xf numFmtId="168" fontId="1" fillId="0" borderId="57" xfId="0" applyNumberFormat="1" applyFont="1" applyBorder="1" applyAlignment="1">
      <alignment horizontal="right" indent="1"/>
    </xf>
    <xf numFmtId="168" fontId="1" fillId="0" borderId="58" xfId="0" applyNumberFormat="1" applyFont="1" applyBorder="1" applyAlignment="1">
      <alignment horizontal="right" indent="1"/>
    </xf>
    <xf numFmtId="168" fontId="1" fillId="0" borderId="59" xfId="0" applyNumberFormat="1" applyFont="1" applyBorder="1" applyAlignment="1">
      <alignment horizontal="right" indent="1"/>
    </xf>
    <xf numFmtId="168" fontId="1" fillId="0" borderId="60" xfId="0" applyNumberFormat="1" applyFont="1" applyBorder="1" applyAlignment="1">
      <alignment horizontal="right" indent="1"/>
    </xf>
    <xf numFmtId="168" fontId="1" fillId="0" borderId="61" xfId="0" applyNumberFormat="1" applyFont="1" applyBorder="1" applyAlignment="1">
      <alignment horizontal="right" indent="1"/>
    </xf>
    <xf numFmtId="168" fontId="1" fillId="0" borderId="62" xfId="0" applyNumberFormat="1" applyFont="1" applyBorder="1" applyAlignment="1">
      <alignment horizontal="right" indent="1"/>
    </xf>
    <xf numFmtId="168" fontId="1" fillId="0" borderId="63" xfId="0" applyNumberFormat="1" applyFont="1" applyBorder="1" applyAlignment="1">
      <alignment horizontal="right" indent="1"/>
    </xf>
    <xf numFmtId="168" fontId="1" fillId="0" borderId="64" xfId="0" applyNumberFormat="1" applyFont="1" applyBorder="1" applyAlignment="1">
      <alignment horizontal="right" indent="1"/>
    </xf>
    <xf numFmtId="168" fontId="1" fillId="0" borderId="65" xfId="0" applyNumberFormat="1" applyFont="1" applyBorder="1" applyAlignment="1">
      <alignment horizontal="right" indent="1"/>
    </xf>
    <xf numFmtId="168" fontId="1" fillId="0" borderId="66" xfId="0" applyNumberFormat="1" applyFont="1" applyBorder="1" applyAlignment="1">
      <alignment horizontal="right" indent="1"/>
    </xf>
    <xf numFmtId="168" fontId="1" fillId="0" borderId="67" xfId="0" applyNumberFormat="1" applyFont="1" applyBorder="1" applyAlignment="1">
      <alignment horizontal="right" indent="1"/>
    </xf>
    <xf numFmtId="168" fontId="1" fillId="0" borderId="68" xfId="0" applyNumberFormat="1" applyFont="1" applyBorder="1" applyAlignment="1">
      <alignment horizontal="right" indent="1"/>
    </xf>
    <xf numFmtId="168" fontId="1" fillId="0" borderId="69" xfId="0" applyNumberFormat="1" applyFont="1" applyBorder="1" applyAlignment="1">
      <alignment horizontal="right" indent="1"/>
    </xf>
    <xf numFmtId="168" fontId="1" fillId="0" borderId="70" xfId="0" applyNumberFormat="1" applyFont="1" applyBorder="1" applyAlignment="1">
      <alignment horizontal="right" indent="1"/>
    </xf>
    <xf numFmtId="168" fontId="1" fillId="0" borderId="71" xfId="0" applyNumberFormat="1" applyFont="1" applyBorder="1" applyAlignment="1">
      <alignment horizontal="right" indent="1"/>
    </xf>
    <xf numFmtId="168" fontId="1" fillId="0" borderId="72" xfId="0" applyNumberFormat="1" applyFont="1" applyBorder="1" applyAlignment="1">
      <alignment horizontal="right" indent="1"/>
    </xf>
    <xf numFmtId="168" fontId="1" fillId="0" borderId="73" xfId="0" applyNumberFormat="1" applyFont="1" applyBorder="1" applyAlignment="1">
      <alignment horizontal="right" indent="1"/>
    </xf>
    <xf numFmtId="168" fontId="1" fillId="0" borderId="74" xfId="0" applyNumberFormat="1" applyFont="1" applyBorder="1" applyAlignment="1">
      <alignment horizontal="right" indent="1"/>
    </xf>
    <xf numFmtId="168" fontId="1" fillId="0" borderId="75" xfId="0" applyNumberFormat="1" applyFont="1" applyBorder="1" applyAlignment="1">
      <alignment horizontal="right" indent="1"/>
    </xf>
    <xf numFmtId="168" fontId="1" fillId="0" borderId="76" xfId="0" applyNumberFormat="1" applyFont="1" applyBorder="1" applyAlignment="1">
      <alignment horizontal="right" indent="1"/>
    </xf>
    <xf numFmtId="168" fontId="1" fillId="0" borderId="77" xfId="0" applyNumberFormat="1" applyFont="1" applyBorder="1" applyAlignment="1">
      <alignment horizontal="right" indent="1"/>
    </xf>
    <xf numFmtId="168" fontId="1" fillId="0" borderId="78" xfId="0" applyNumberFormat="1" applyFont="1" applyBorder="1" applyAlignment="1">
      <alignment horizontal="right" indent="1"/>
    </xf>
    <xf numFmtId="168" fontId="1" fillId="0" borderId="79" xfId="0" applyNumberFormat="1" applyFont="1" applyBorder="1" applyAlignment="1">
      <alignment horizontal="right" indent="1"/>
    </xf>
    <xf numFmtId="168" fontId="1" fillId="0" borderId="80" xfId="0" applyNumberFormat="1" applyFont="1" applyBorder="1" applyAlignment="1">
      <alignment horizontal="right" indent="1"/>
    </xf>
    <xf numFmtId="168" fontId="1" fillId="0" borderId="81" xfId="0" applyNumberFormat="1" applyFont="1" applyBorder="1" applyAlignment="1">
      <alignment horizontal="right" indent="1"/>
    </xf>
    <xf numFmtId="168" fontId="1" fillId="0" borderId="82" xfId="0" applyNumberFormat="1" applyFont="1" applyBorder="1" applyAlignment="1">
      <alignment horizontal="right" indent="1"/>
    </xf>
    <xf numFmtId="168" fontId="2" fillId="0" borderId="78" xfId="0" applyNumberFormat="1" applyFont="1" applyBorder="1" applyAlignment="1">
      <alignment horizontal="right" indent="1"/>
    </xf>
    <xf numFmtId="168" fontId="2" fillId="0" borderId="79" xfId="0" applyNumberFormat="1" applyFont="1" applyBorder="1" applyAlignment="1">
      <alignment horizontal="right" indent="1"/>
    </xf>
    <xf numFmtId="168" fontId="2" fillId="0" borderId="77" xfId="0" applyNumberFormat="1" applyFont="1" applyBorder="1" applyAlignment="1">
      <alignment horizontal="right" wrapText="1" indent="1"/>
    </xf>
    <xf numFmtId="168" fontId="2" fillId="0" borderId="0" xfId="0" applyNumberFormat="1" applyFont="1" applyBorder="1" applyAlignment="1">
      <alignment horizontal="right" indent="1"/>
    </xf>
    <xf numFmtId="168" fontId="2" fillId="0" borderId="77" xfId="0" applyNumberFormat="1" applyFont="1" applyBorder="1" applyAlignment="1">
      <alignment horizontal="right" indent="1"/>
    </xf>
    <xf numFmtId="168" fontId="2" fillId="0" borderId="41" xfId="0" applyNumberFormat="1" applyFont="1" applyBorder="1" applyAlignment="1">
      <alignment horizontal="right" indent="1"/>
    </xf>
    <xf numFmtId="168" fontId="2" fillId="0" borderId="39" xfId="0" applyNumberFormat="1" applyFont="1" applyBorder="1" applyAlignment="1">
      <alignment horizontal="right" indent="1"/>
    </xf>
    <xf numFmtId="168" fontId="1" fillId="0" borderId="83" xfId="0" applyNumberFormat="1" applyFont="1" applyBorder="1" applyAlignment="1">
      <alignment horizontal="right" indent="1"/>
    </xf>
    <xf numFmtId="168" fontId="1" fillId="0" borderId="84" xfId="0" applyNumberFormat="1" applyFont="1" applyBorder="1" applyAlignment="1">
      <alignment horizontal="right" indent="1"/>
    </xf>
    <xf numFmtId="168" fontId="1" fillId="0" borderId="37" xfId="0" applyNumberFormat="1" applyFont="1" applyBorder="1" applyAlignment="1">
      <alignment horizontal="right" wrapText="1" indent="1"/>
    </xf>
    <xf numFmtId="168" fontId="1" fillId="0" borderId="32" xfId="0" applyNumberFormat="1" applyFont="1" applyBorder="1" applyAlignment="1">
      <alignment horizontal="right" wrapText="1" indent="1"/>
    </xf>
    <xf numFmtId="168" fontId="1" fillId="0" borderId="32" xfId="0" applyNumberFormat="1" applyFont="1" applyBorder="1" applyAlignment="1">
      <alignment horizontal="right" indent="1"/>
    </xf>
    <xf numFmtId="168" fontId="1" fillId="0" borderId="29" xfId="0" applyNumberFormat="1" applyFont="1" applyBorder="1" applyAlignment="1">
      <alignment horizontal="right" indent="1"/>
    </xf>
    <xf numFmtId="0" fontId="1" fillId="0" borderId="35" xfId="0" applyFont="1" applyBorder="1" applyAlignment="1">
      <alignment horizontal="left" wrapText="1" indent="4"/>
    </xf>
    <xf numFmtId="0" fontId="5" fillId="0" borderId="32" xfId="0" applyFont="1" applyBorder="1"/>
    <xf numFmtId="0" fontId="1" fillId="0" borderId="35" xfId="0" applyFont="1" applyBorder="1" applyAlignment="1">
      <alignment horizontal="left" wrapText="1" indent="2"/>
    </xf>
    <xf numFmtId="0" fontId="1" fillId="0" borderId="32" xfId="0" applyFont="1" applyBorder="1" applyAlignment="1">
      <alignment horizontal="right" wrapText="1" indent="1"/>
    </xf>
    <xf numFmtId="168" fontId="2" fillId="0" borderId="32" xfId="0" applyNumberFormat="1" applyFont="1" applyBorder="1" applyAlignment="1">
      <alignment horizontal="right" wrapText="1" indent="1"/>
    </xf>
    <xf numFmtId="168" fontId="2" fillId="0" borderId="32" xfId="0" applyNumberFormat="1" applyFont="1" applyBorder="1" applyAlignment="1">
      <alignment horizontal="right" indent="1"/>
    </xf>
    <xf numFmtId="168" fontId="2" fillId="0" borderId="29" xfId="0" applyNumberFormat="1" applyFont="1" applyBorder="1" applyAlignment="1">
      <alignment horizontal="right" indent="1"/>
    </xf>
    <xf numFmtId="0" fontId="1" fillId="0" borderId="37" xfId="0" applyFont="1" applyBorder="1" applyAlignment="1">
      <alignment horizontal="right" wrapText="1" indent="1"/>
    </xf>
    <xf numFmtId="0" fontId="5" fillId="0" borderId="39" xfId="0" applyFont="1" applyBorder="1"/>
    <xf numFmtId="168" fontId="28" fillId="0" borderId="32" xfId="0" applyNumberFormat="1" applyFont="1" applyBorder="1" applyAlignment="1">
      <alignment horizontal="center"/>
    </xf>
    <xf numFmtId="168" fontId="1" fillId="0" borderId="28" xfId="0" applyNumberFormat="1" applyFont="1" applyBorder="1" applyAlignment="1">
      <alignment horizontal="right" indent="1"/>
    </xf>
    <xf numFmtId="168" fontId="1" fillId="0" borderId="4" xfId="0" applyNumberFormat="1" applyFont="1" applyBorder="1" applyAlignment="1">
      <alignment horizontal="right" indent="1"/>
    </xf>
    <xf numFmtId="168" fontId="1" fillId="0" borderId="85" xfId="0" applyNumberFormat="1" applyFont="1" applyBorder="1" applyAlignment="1">
      <alignment horizontal="right" wrapText="1" indent="1"/>
    </xf>
    <xf numFmtId="168" fontId="1" fillId="0" borderId="11" xfId="0" applyNumberFormat="1" applyFont="1" applyBorder="1" applyAlignment="1">
      <alignment horizontal="right" indent="1"/>
    </xf>
    <xf numFmtId="168" fontId="2" fillId="0" borderId="17" xfId="0" applyNumberFormat="1" applyFont="1" applyBorder="1" applyAlignment="1">
      <alignment horizontal="right" indent="1"/>
    </xf>
    <xf numFmtId="168" fontId="2" fillId="0" borderId="83" xfId="0" applyNumberFormat="1" applyFont="1" applyBorder="1" applyAlignment="1">
      <alignment horizontal="right" indent="1"/>
    </xf>
    <xf numFmtId="0" fontId="2" fillId="0" borderId="37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168" fontId="2" fillId="0" borderId="12" xfId="0" applyNumberFormat="1" applyFont="1" applyBorder="1" applyAlignment="1">
      <alignment horizontal="right" indent="2"/>
    </xf>
    <xf numFmtId="168" fontId="2" fillId="0" borderId="3" xfId="0" applyNumberFormat="1" applyFont="1" applyBorder="1" applyAlignment="1">
      <alignment horizontal="right" indent="2"/>
    </xf>
    <xf numFmtId="170" fontId="2" fillId="0" borderId="37" xfId="0" applyNumberFormat="1" applyFont="1" applyBorder="1" applyAlignment="1">
      <alignment horizontal="center" wrapText="1"/>
    </xf>
    <xf numFmtId="168" fontId="2" fillId="0" borderId="0" xfId="0" applyNumberFormat="1" applyFont="1" applyAlignment="1">
      <alignment horizontal="center"/>
    </xf>
    <xf numFmtId="168" fontId="2" fillId="0" borderId="12" xfId="0" applyNumberFormat="1" applyFont="1" applyBorder="1" applyAlignment="1">
      <alignment horizontal="center"/>
    </xf>
    <xf numFmtId="168" fontId="2" fillId="0" borderId="41" xfId="0" applyNumberFormat="1" applyFont="1" applyBorder="1" applyAlignment="1">
      <alignment horizontal="right" indent="2"/>
    </xf>
    <xf numFmtId="168" fontId="2" fillId="0" borderId="37" xfId="0" applyNumberFormat="1" applyFont="1" applyBorder="1" applyAlignment="1">
      <alignment horizontal="center"/>
    </xf>
    <xf numFmtId="168" fontId="2" fillId="0" borderId="37" xfId="0" applyNumberFormat="1" applyFont="1" applyBorder="1" applyAlignment="1">
      <alignment horizontal="right" indent="2"/>
    </xf>
    <xf numFmtId="0" fontId="1" fillId="0" borderId="37" xfId="0" applyFont="1" applyBorder="1" applyAlignment="1">
      <alignment horizontal="center" vertical="center" wrapText="1"/>
    </xf>
    <xf numFmtId="168" fontId="1" fillId="0" borderId="37" xfId="0" applyNumberFormat="1" applyFont="1" applyBorder="1" applyAlignment="1">
      <alignment horizontal="center" vertical="center" wrapText="1"/>
    </xf>
    <xf numFmtId="168" fontId="1" fillId="0" borderId="41" xfId="0" applyNumberFormat="1" applyFont="1" applyBorder="1" applyAlignment="1">
      <alignment horizontal="right" indent="2"/>
    </xf>
    <xf numFmtId="170" fontId="1" fillId="0" borderId="37" xfId="0" applyNumberFormat="1" applyFont="1" applyBorder="1" applyAlignment="1">
      <alignment horizontal="center" wrapText="1"/>
    </xf>
    <xf numFmtId="168" fontId="1" fillId="0" borderId="0" xfId="0" applyNumberFormat="1" applyFont="1" applyAlignment="1">
      <alignment horizontal="center"/>
    </xf>
    <xf numFmtId="168" fontId="1" fillId="0" borderId="37" xfId="0" applyNumberFormat="1" applyFont="1" applyBorder="1" applyAlignment="1">
      <alignment horizontal="center"/>
    </xf>
    <xf numFmtId="168" fontId="1" fillId="0" borderId="37" xfId="0" applyNumberFormat="1" applyFont="1" applyBorder="1" applyAlignment="1">
      <alignment horizontal="right" indent="2"/>
    </xf>
    <xf numFmtId="2" fontId="1" fillId="0" borderId="0" xfId="0" applyNumberFormat="1" applyFont="1" applyAlignment="1">
      <alignment horizontal="center"/>
    </xf>
    <xf numFmtId="0" fontId="1" fillId="0" borderId="37" xfId="0" applyFont="1" applyFill="1" applyBorder="1" applyAlignment="1">
      <alignment horizontal="center" vertical="center" wrapText="1"/>
    </xf>
    <xf numFmtId="168" fontId="1" fillId="0" borderId="41" xfId="0" applyNumberFormat="1" applyFont="1" applyFill="1" applyBorder="1" applyAlignment="1">
      <alignment horizontal="right" indent="2"/>
    </xf>
    <xf numFmtId="170" fontId="1" fillId="0" borderId="37" xfId="0" applyNumberFormat="1" applyFont="1" applyFill="1" applyBorder="1" applyAlignment="1">
      <alignment horizontal="center" wrapText="1"/>
    </xf>
    <xf numFmtId="168" fontId="1" fillId="0" borderId="0" xfId="0" applyNumberFormat="1" applyFont="1" applyFill="1" applyAlignment="1">
      <alignment horizontal="center"/>
    </xf>
    <xf numFmtId="168" fontId="1" fillId="0" borderId="37" xfId="0" applyNumberFormat="1" applyFont="1" applyFill="1" applyBorder="1" applyAlignment="1">
      <alignment horizontal="center"/>
    </xf>
    <xf numFmtId="168" fontId="1" fillId="0" borderId="37" xfId="0" applyNumberFormat="1" applyFont="1" applyFill="1" applyBorder="1" applyAlignment="1">
      <alignment horizontal="right" indent="2"/>
    </xf>
    <xf numFmtId="168" fontId="1" fillId="0" borderId="37" xfId="0" applyNumberFormat="1" applyFont="1" applyFill="1" applyBorder="1" applyAlignment="1">
      <alignment horizontal="center" vertical="center" wrapText="1"/>
    </xf>
    <xf numFmtId="2" fontId="1" fillId="0" borderId="41" xfId="0" applyNumberFormat="1" applyFont="1" applyFill="1" applyBorder="1" applyAlignment="1">
      <alignment horizontal="right" indent="2"/>
    </xf>
    <xf numFmtId="168" fontId="1" fillId="0" borderId="37" xfId="0" applyNumberFormat="1" applyFont="1" applyFill="1" applyBorder="1" applyAlignment="1">
      <alignment horizontal="center" wrapText="1"/>
    </xf>
    <xf numFmtId="2" fontId="1" fillId="0" borderId="37" xfId="0" applyNumberFormat="1" applyFont="1" applyFill="1" applyBorder="1" applyAlignment="1">
      <alignment horizontal="right" indent="2"/>
    </xf>
    <xf numFmtId="0" fontId="2" fillId="0" borderId="37" xfId="0" applyFont="1" applyFill="1" applyBorder="1" applyAlignment="1">
      <alignment horizontal="center" wrapText="1"/>
    </xf>
    <xf numFmtId="168" fontId="2" fillId="0" borderId="41" xfId="0" applyNumberFormat="1" applyFont="1" applyFill="1" applyBorder="1" applyAlignment="1">
      <alignment horizontal="right" indent="2"/>
    </xf>
    <xf numFmtId="170" fontId="2" fillId="0" borderId="37" xfId="0" applyNumberFormat="1" applyFont="1" applyFill="1" applyBorder="1" applyAlignment="1">
      <alignment horizontal="center" wrapText="1"/>
    </xf>
    <xf numFmtId="168" fontId="2" fillId="0" borderId="0" xfId="0" applyNumberFormat="1" applyFont="1" applyFill="1" applyAlignment="1">
      <alignment horizontal="center"/>
    </xf>
    <xf numFmtId="168" fontId="2" fillId="0" borderId="37" xfId="0" applyNumberFormat="1" applyFont="1" applyFill="1" applyBorder="1" applyAlignment="1">
      <alignment horizontal="center"/>
    </xf>
    <xf numFmtId="168" fontId="2" fillId="0" borderId="37" xfId="0" applyNumberFormat="1" applyFont="1" applyFill="1" applyBorder="1" applyAlignment="1">
      <alignment horizontal="right" indent="2"/>
    </xf>
    <xf numFmtId="0" fontId="5" fillId="0" borderId="37" xfId="0" applyFont="1" applyBorder="1"/>
    <xf numFmtId="0" fontId="1" fillId="0" borderId="37" xfId="0" applyFont="1" applyBorder="1" applyAlignment="1">
      <alignment horizontal="center"/>
    </xf>
    <xf numFmtId="0" fontId="5" fillId="0" borderId="0" xfId="0" applyFont="1" applyBorder="1" applyAlignment="1">
      <alignment horizontal="right" indent="2"/>
    </xf>
    <xf numFmtId="0" fontId="5" fillId="0" borderId="37" xfId="0" applyFont="1" applyBorder="1" applyAlignment="1">
      <alignment horizontal="right" indent="2"/>
    </xf>
    <xf numFmtId="168" fontId="1" fillId="0" borderId="0" xfId="0" applyNumberFormat="1" applyFont="1" applyBorder="1" applyAlignment="1">
      <alignment horizontal="right" indent="2"/>
    </xf>
    <xf numFmtId="168" fontId="2" fillId="0" borderId="86" xfId="0" applyNumberFormat="1" applyFont="1" applyBorder="1" applyAlignment="1">
      <alignment horizontal="right" indent="2"/>
    </xf>
    <xf numFmtId="0" fontId="2" fillId="0" borderId="82" xfId="0" applyFont="1" applyBorder="1" applyAlignment="1">
      <alignment horizontal="center" wrapText="1"/>
    </xf>
    <xf numFmtId="168" fontId="2" fillId="0" borderId="87" xfId="0" applyNumberFormat="1" applyFont="1" applyBorder="1" applyAlignment="1">
      <alignment horizontal="right" indent="2"/>
    </xf>
    <xf numFmtId="170" fontId="2" fillId="0" borderId="82" xfId="0" applyNumberFormat="1" applyFont="1" applyBorder="1" applyAlignment="1">
      <alignment horizontal="center" wrapText="1"/>
    </xf>
    <xf numFmtId="0" fontId="1" fillId="0" borderId="9" xfId="0" applyFont="1" applyBorder="1" applyAlignment="1">
      <alignment horizontal="left" wrapText="1" indent="1"/>
    </xf>
    <xf numFmtId="168" fontId="1" fillId="0" borderId="85" xfId="0" applyNumberFormat="1" applyFont="1" applyBorder="1" applyAlignment="1">
      <alignment horizontal="right" indent="1"/>
    </xf>
    <xf numFmtId="168" fontId="1" fillId="0" borderId="11" xfId="0" applyNumberFormat="1" applyFont="1" applyBorder="1" applyAlignment="1">
      <alignment horizontal="right" indent="2"/>
    </xf>
    <xf numFmtId="168" fontId="1" fillId="0" borderId="85" xfId="0" applyNumberFormat="1" applyFont="1" applyBorder="1" applyAlignment="1">
      <alignment horizontal="right" indent="2"/>
    </xf>
    <xf numFmtId="0" fontId="1" fillId="0" borderId="85" xfId="0" applyFont="1" applyBorder="1" applyAlignment="1">
      <alignment horizontal="center" wrapText="1"/>
    </xf>
    <xf numFmtId="168" fontId="1" fillId="0" borderId="85" xfId="0" applyNumberFormat="1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170" fontId="1" fillId="0" borderId="85" xfId="0" applyNumberFormat="1" applyFont="1" applyBorder="1" applyAlignment="1">
      <alignment horizontal="center" wrapText="1"/>
    </xf>
    <xf numFmtId="168" fontId="1" fillId="0" borderId="85" xfId="0" applyNumberFormat="1" applyFont="1" applyBorder="1" applyAlignment="1">
      <alignment horizontal="center"/>
    </xf>
    <xf numFmtId="0" fontId="2" fillId="0" borderId="35" xfId="0" applyFont="1" applyBorder="1" applyAlignment="1">
      <alignment wrapText="1"/>
    </xf>
    <xf numFmtId="1" fontId="2" fillId="0" borderId="83" xfId="0" applyNumberFormat="1" applyFont="1" applyBorder="1" applyAlignment="1">
      <alignment horizontal="right" indent="1"/>
    </xf>
    <xf numFmtId="1" fontId="2" fillId="0" borderId="84" xfId="0" applyNumberFormat="1" applyFont="1" applyBorder="1" applyAlignment="1">
      <alignment horizontal="right" indent="1"/>
    </xf>
    <xf numFmtId="1" fontId="2" fillId="0" borderId="41" xfId="0" applyNumberFormat="1" applyFont="1" applyFill="1" applyBorder="1" applyAlignment="1">
      <alignment horizontal="right" indent="1"/>
    </xf>
    <xf numFmtId="1" fontId="2" fillId="0" borderId="13" xfId="0" applyNumberFormat="1" applyFont="1" applyBorder="1" applyAlignment="1">
      <alignment horizontal="right" indent="1"/>
    </xf>
    <xf numFmtId="1" fontId="2" fillId="0" borderId="41" xfId="0" applyNumberFormat="1" applyFont="1" applyBorder="1" applyAlignment="1">
      <alignment horizontal="right" indent="1"/>
    </xf>
    <xf numFmtId="3" fontId="2" fillId="0" borderId="13" xfId="1" applyNumberFormat="1" applyFont="1" applyBorder="1" applyAlignment="1">
      <alignment horizontal="right" indent="1"/>
    </xf>
    <xf numFmtId="1" fontId="2" fillId="0" borderId="0" xfId="0" applyNumberFormat="1" applyFont="1" applyAlignment="1">
      <alignment horizontal="right" indent="1"/>
    </xf>
    <xf numFmtId="0" fontId="2" fillId="0" borderId="12" xfId="0" applyFont="1" applyBorder="1" applyAlignment="1">
      <alignment horizontal="right" indent="1"/>
    </xf>
    <xf numFmtId="0" fontId="2" fillId="0" borderId="35" xfId="0" applyFont="1" applyBorder="1" applyAlignment="1">
      <alignment horizontal="left" wrapText="1" indent="2"/>
    </xf>
    <xf numFmtId="168" fontId="2" fillId="0" borderId="84" xfId="0" applyNumberFormat="1" applyFont="1" applyBorder="1" applyAlignment="1">
      <alignment horizontal="right" indent="1"/>
    </xf>
    <xf numFmtId="168" fontId="2" fillId="0" borderId="41" xfId="0" applyNumberFormat="1" applyFont="1" applyFill="1" applyBorder="1" applyAlignment="1">
      <alignment horizontal="right" indent="1"/>
    </xf>
    <xf numFmtId="168" fontId="2" fillId="0" borderId="13" xfId="0" applyNumberFormat="1" applyFont="1" applyBorder="1" applyAlignment="1">
      <alignment horizontal="right" indent="1"/>
    </xf>
    <xf numFmtId="169" fontId="2" fillId="0" borderId="13" xfId="1" applyNumberFormat="1" applyFont="1" applyBorder="1" applyAlignment="1">
      <alignment horizontal="right" indent="1"/>
    </xf>
    <xf numFmtId="168" fontId="2" fillId="0" borderId="0" xfId="0" applyNumberFormat="1" applyFont="1" applyAlignment="1">
      <alignment horizontal="right" indent="1"/>
    </xf>
    <xf numFmtId="0" fontId="2" fillId="0" borderId="13" xfId="0" applyFont="1" applyBorder="1" applyAlignment="1">
      <alignment horizontal="right" indent="1"/>
    </xf>
    <xf numFmtId="0" fontId="1" fillId="0" borderId="35" xfId="0" applyFont="1" applyBorder="1" applyAlignment="1">
      <alignment horizontal="left" wrapText="1" indent="1"/>
    </xf>
    <xf numFmtId="168" fontId="1" fillId="0" borderId="41" xfId="0" applyNumberFormat="1" applyFont="1" applyFill="1" applyBorder="1" applyAlignment="1">
      <alignment horizontal="right" indent="1"/>
    </xf>
    <xf numFmtId="168" fontId="1" fillId="0" borderId="0" xfId="0" applyNumberFormat="1" applyFont="1" applyAlignment="1">
      <alignment horizontal="right" indent="1"/>
    </xf>
    <xf numFmtId="0" fontId="1" fillId="0" borderId="13" xfId="0" applyFont="1" applyBorder="1" applyAlignment="1">
      <alignment horizontal="right" indent="1"/>
    </xf>
    <xf numFmtId="0" fontId="1" fillId="0" borderId="0" xfId="0" applyFont="1" applyAlignment="1">
      <alignment horizontal="right" indent="1"/>
    </xf>
    <xf numFmtId="0" fontId="1" fillId="0" borderId="88" xfId="0" applyFont="1" applyBorder="1" applyAlignment="1">
      <alignment horizontal="left" wrapText="1" indent="1"/>
    </xf>
    <xf numFmtId="0" fontId="5" fillId="0" borderId="88" xfId="0" applyFont="1" applyBorder="1" applyAlignment="1">
      <alignment horizontal="right" indent="1"/>
    </xf>
    <xf numFmtId="0" fontId="5" fillId="0" borderId="13" xfId="0" applyFont="1" applyBorder="1" applyAlignment="1">
      <alignment horizontal="right" indent="1"/>
    </xf>
    <xf numFmtId="0" fontId="5" fillId="0" borderId="0" xfId="0" applyFont="1" applyFill="1" applyAlignment="1">
      <alignment horizontal="right" indent="1"/>
    </xf>
    <xf numFmtId="0" fontId="1" fillId="0" borderId="0" xfId="0" applyFont="1" applyBorder="1" applyAlignment="1">
      <alignment horizontal="right" indent="1"/>
    </xf>
    <xf numFmtId="0" fontId="1" fillId="0" borderId="0" xfId="0" applyFont="1" applyBorder="1" applyAlignment="1">
      <alignment horizontal="left" wrapText="1" indent="1"/>
    </xf>
    <xf numFmtId="0" fontId="5" fillId="0" borderId="0" xfId="0" applyFont="1" applyBorder="1" applyAlignment="1">
      <alignment horizontal="right" indent="1"/>
    </xf>
    <xf numFmtId="0" fontId="5" fillId="0" borderId="13" xfId="0" applyFont="1" applyFill="1" applyBorder="1" applyAlignment="1">
      <alignment horizontal="right" indent="1"/>
    </xf>
    <xf numFmtId="168" fontId="1" fillId="0" borderId="13" xfId="0" applyNumberFormat="1" applyFont="1" applyBorder="1" applyAlignment="1">
      <alignment horizontal="right" wrapText="1" indent="1"/>
    </xf>
    <xf numFmtId="169" fontId="1" fillId="0" borderId="13" xfId="1" applyNumberFormat="1" applyFont="1" applyBorder="1" applyAlignment="1">
      <alignment horizontal="right" indent="1"/>
    </xf>
    <xf numFmtId="0" fontId="2" fillId="0" borderId="0" xfId="0" applyFont="1" applyAlignment="1">
      <alignment horizontal="right" indent="1"/>
    </xf>
    <xf numFmtId="1" fontId="1" fillId="0" borderId="0" xfId="0" applyNumberFormat="1" applyFont="1" applyAlignment="1">
      <alignment horizontal="right" indent="1"/>
    </xf>
    <xf numFmtId="168" fontId="1" fillId="0" borderId="11" xfId="0" applyNumberFormat="1" applyFont="1" applyFill="1" applyBorder="1" applyAlignment="1">
      <alignment horizontal="right" indent="1"/>
    </xf>
    <xf numFmtId="168" fontId="30" fillId="0" borderId="0" xfId="0" applyNumberFormat="1" applyFont="1" applyBorder="1" applyAlignment="1">
      <alignment horizontal="right" indent="1"/>
    </xf>
    <xf numFmtId="168" fontId="32" fillId="0" borderId="0" xfId="0" applyNumberFormat="1" applyFont="1" applyBorder="1" applyAlignment="1">
      <alignment horizontal="right" indent="1"/>
    </xf>
    <xf numFmtId="168" fontId="2" fillId="0" borderId="0" xfId="0" applyNumberFormat="1" applyFont="1" applyFill="1" applyBorder="1" applyAlignment="1">
      <alignment horizontal="right" indent="1"/>
    </xf>
    <xf numFmtId="168" fontId="1" fillId="0" borderId="0" xfId="0" applyNumberFormat="1" applyFont="1" applyFill="1" applyBorder="1" applyAlignment="1">
      <alignment horizontal="right" indent="1"/>
    </xf>
    <xf numFmtId="0" fontId="1" fillId="0" borderId="15" xfId="0" applyFont="1" applyBorder="1" applyAlignment="1">
      <alignment horizontal="left" wrapText="1" indent="1"/>
    </xf>
    <xf numFmtId="168" fontId="1" fillId="0" borderId="89" xfId="0" applyNumberFormat="1" applyFont="1" applyBorder="1" applyAlignment="1">
      <alignment horizontal="right" indent="1"/>
    </xf>
    <xf numFmtId="168" fontId="1" fillId="0" borderId="90" xfId="0" applyNumberFormat="1" applyFont="1" applyBorder="1" applyAlignment="1">
      <alignment horizontal="right" indent="1"/>
    </xf>
    <xf numFmtId="168" fontId="1" fillId="0" borderId="8" xfId="0" applyNumberFormat="1" applyFont="1" applyBorder="1" applyAlignment="1">
      <alignment horizontal="right" indent="1"/>
    </xf>
    <xf numFmtId="168" fontId="1" fillId="0" borderId="18" xfId="0" applyNumberFormat="1" applyFont="1" applyBorder="1" applyAlignment="1">
      <alignment horizontal="right" indent="1"/>
    </xf>
    <xf numFmtId="168" fontId="1" fillId="0" borderId="91" xfId="0" applyNumberFormat="1" applyFont="1" applyBorder="1" applyAlignment="1">
      <alignment horizontal="right" indent="1"/>
    </xf>
    <xf numFmtId="168" fontId="1" fillId="0" borderId="9" xfId="0" applyNumberFormat="1" applyFont="1" applyBorder="1" applyAlignment="1">
      <alignment horizontal="right" indent="1"/>
    </xf>
    <xf numFmtId="168" fontId="1" fillId="0" borderId="15" xfId="0" applyNumberFormat="1" applyFont="1" applyBorder="1" applyAlignment="1">
      <alignment horizontal="right" indent="1"/>
    </xf>
    <xf numFmtId="1" fontId="2" fillId="0" borderId="3" xfId="0" applyNumberFormat="1" applyFont="1" applyBorder="1" applyAlignment="1">
      <alignment horizontal="right" indent="1"/>
    </xf>
    <xf numFmtId="1" fontId="2" fillId="0" borderId="38" xfId="0" applyNumberFormat="1" applyFont="1" applyBorder="1" applyAlignment="1">
      <alignment horizontal="right" indent="1"/>
    </xf>
    <xf numFmtId="1" fontId="1" fillId="0" borderId="83" xfId="0" applyNumberFormat="1" applyFont="1" applyBorder="1" applyAlignment="1">
      <alignment horizontal="right" indent="1"/>
    </xf>
    <xf numFmtId="1" fontId="1" fillId="0" borderId="84" xfId="0" applyNumberFormat="1" applyFont="1" applyBorder="1" applyAlignment="1">
      <alignment horizontal="right" indent="1"/>
    </xf>
    <xf numFmtId="1" fontId="1" fillId="0" borderId="41" xfId="0" applyNumberFormat="1" applyFont="1" applyBorder="1" applyAlignment="1">
      <alignment horizontal="right" indent="1"/>
    </xf>
    <xf numFmtId="1" fontId="1" fillId="0" borderId="13" xfId="0" applyNumberFormat="1" applyFont="1" applyBorder="1" applyAlignment="1">
      <alignment horizontal="right" indent="1"/>
    </xf>
    <xf numFmtId="1" fontId="1" fillId="0" borderId="38" xfId="0" applyNumberFormat="1" applyFont="1" applyBorder="1" applyAlignment="1">
      <alignment horizontal="right" indent="1"/>
    </xf>
    <xf numFmtId="0" fontId="2" fillId="0" borderId="41" xfId="0" applyNumberFormat="1" applyFont="1" applyBorder="1" applyAlignment="1">
      <alignment horizontal="right" wrapText="1" indent="1"/>
    </xf>
    <xf numFmtId="1" fontId="1" fillId="0" borderId="0" xfId="0" applyNumberFormat="1" applyFont="1" applyBorder="1" applyAlignment="1">
      <alignment horizontal="right" indent="1"/>
    </xf>
    <xf numFmtId="1" fontId="1" fillId="0" borderId="89" xfId="0" applyNumberFormat="1" applyFont="1" applyBorder="1" applyAlignment="1">
      <alignment horizontal="right" indent="1"/>
    </xf>
    <xf numFmtId="1" fontId="1" fillId="0" borderId="90" xfId="0" applyNumberFormat="1" applyFont="1" applyBorder="1" applyAlignment="1">
      <alignment horizontal="right" indent="1"/>
    </xf>
    <xf numFmtId="1" fontId="1" fillId="0" borderId="92" xfId="0" applyNumberFormat="1" applyFont="1" applyBorder="1" applyAlignment="1">
      <alignment horizontal="right" indent="1"/>
    </xf>
    <xf numFmtId="1" fontId="1" fillId="0" borderId="8" xfId="0" applyNumberFormat="1" applyFont="1" applyBorder="1" applyAlignment="1">
      <alignment horizontal="right" indent="1"/>
    </xf>
    <xf numFmtId="1" fontId="1" fillId="0" borderId="91" xfId="0" applyNumberFormat="1" applyFont="1" applyBorder="1" applyAlignment="1">
      <alignment horizontal="right" indent="1"/>
    </xf>
    <xf numFmtId="0" fontId="1" fillId="0" borderId="1" xfId="0" applyFont="1" applyBorder="1" applyAlignment="1">
      <alignment horizontal="left" wrapText="1" indent="1"/>
    </xf>
    <xf numFmtId="168" fontId="1" fillId="0" borderId="18" xfId="0" applyNumberFormat="1" applyFont="1" applyBorder="1" applyAlignment="1">
      <alignment horizontal="right" indent="2"/>
    </xf>
    <xf numFmtId="168" fontId="1" fillId="0" borderId="89" xfId="0" applyNumberFormat="1" applyFont="1" applyBorder="1" applyAlignment="1">
      <alignment horizontal="right" indent="2"/>
    </xf>
    <xf numFmtId="168" fontId="1" fillId="0" borderId="88" xfId="0" applyNumberFormat="1" applyFont="1" applyBorder="1" applyAlignment="1">
      <alignment horizontal="right" indent="1"/>
    </xf>
    <xf numFmtId="168" fontId="2" fillId="0" borderId="93" xfId="0" applyNumberFormat="1" applyFont="1" applyBorder="1" applyAlignment="1">
      <alignment horizontal="right" indent="1"/>
    </xf>
    <xf numFmtId="168" fontId="1" fillId="0" borderId="93" xfId="0" applyNumberFormat="1" applyFont="1" applyBorder="1" applyAlignment="1">
      <alignment horizontal="right" indent="1"/>
    </xf>
    <xf numFmtId="168" fontId="2" fillId="0" borderId="93" xfId="0" applyNumberFormat="1" applyFont="1" applyFill="1" applyBorder="1" applyAlignment="1">
      <alignment horizontal="right" indent="1"/>
    </xf>
    <xf numFmtId="168" fontId="1" fillId="0" borderId="93" xfId="0" applyNumberFormat="1" applyFont="1" applyFill="1" applyBorder="1" applyAlignment="1">
      <alignment horizontal="right" indent="1"/>
    </xf>
    <xf numFmtId="0" fontId="2" fillId="0" borderId="2" xfId="0" applyFont="1" applyBorder="1" applyAlignment="1">
      <alignment horizontal="center" vertical="center" wrapText="1"/>
    </xf>
    <xf numFmtId="0" fontId="2" fillId="0" borderId="88" xfId="0" applyFont="1" applyBorder="1" applyAlignment="1">
      <alignment horizontal="center" wrapText="1"/>
    </xf>
    <xf numFmtId="0" fontId="2" fillId="0" borderId="81" xfId="0" applyFont="1" applyBorder="1" applyAlignment="1">
      <alignment horizontal="center" wrapText="1"/>
    </xf>
    <xf numFmtId="168" fontId="2" fillId="0" borderId="95" xfId="0" applyNumberFormat="1" applyFont="1" applyBorder="1" applyAlignment="1">
      <alignment horizontal="right" indent="2"/>
    </xf>
    <xf numFmtId="0" fontId="2" fillId="0" borderId="88" xfId="0" applyFont="1" applyBorder="1" applyAlignment="1">
      <alignment horizontal="left" wrapText="1" indent="2"/>
    </xf>
    <xf numFmtId="168" fontId="2" fillId="0" borderId="78" xfId="0" applyNumberFormat="1" applyFont="1" applyBorder="1" applyAlignment="1">
      <alignment horizontal="right" indent="2"/>
    </xf>
    <xf numFmtId="168" fontId="2" fillId="0" borderId="79" xfId="0" applyNumberFormat="1" applyFont="1" applyBorder="1" applyAlignment="1">
      <alignment horizontal="right" indent="2"/>
    </xf>
    <xf numFmtId="0" fontId="2" fillId="0" borderId="77" xfId="0" applyFont="1" applyBorder="1" applyAlignment="1">
      <alignment horizontal="center" wrapText="1"/>
    </xf>
    <xf numFmtId="168" fontId="2" fillId="0" borderId="93" xfId="0" applyNumberFormat="1" applyFont="1" applyBorder="1" applyAlignment="1">
      <alignment horizontal="right" indent="2"/>
    </xf>
    <xf numFmtId="168" fontId="2" fillId="0" borderId="81" xfId="0" applyNumberFormat="1" applyFont="1" applyBorder="1" applyAlignment="1">
      <alignment horizontal="right" indent="2"/>
    </xf>
    <xf numFmtId="170" fontId="2" fillId="0" borderId="77" xfId="0" applyNumberFormat="1" applyFont="1" applyBorder="1" applyAlignment="1">
      <alignment horizontal="center" wrapText="1"/>
    </xf>
    <xf numFmtId="168" fontId="2" fillId="0" borderId="77" xfId="0" applyNumberFormat="1" applyFont="1" applyBorder="1" applyAlignment="1">
      <alignment horizontal="center"/>
    </xf>
    <xf numFmtId="168" fontId="2" fillId="0" borderId="77" xfId="0" applyNumberFormat="1" applyFont="1" applyBorder="1" applyAlignment="1">
      <alignment horizontal="right" indent="2"/>
    </xf>
    <xf numFmtId="168" fontId="1" fillId="0" borderId="73" xfId="0" applyNumberFormat="1" applyFont="1" applyBorder="1" applyAlignment="1">
      <alignment horizontal="right" indent="2"/>
    </xf>
    <xf numFmtId="168" fontId="1" fillId="0" borderId="74" xfId="0" applyNumberFormat="1" applyFont="1" applyBorder="1" applyAlignment="1">
      <alignment horizontal="right" indent="2"/>
    </xf>
    <xf numFmtId="0" fontId="1" fillId="0" borderId="72" xfId="0" applyFont="1" applyBorder="1" applyAlignment="1">
      <alignment horizontal="center" vertical="center" wrapText="1"/>
    </xf>
    <xf numFmtId="168" fontId="1" fillId="0" borderId="72" xfId="0" applyNumberFormat="1" applyFont="1" applyBorder="1" applyAlignment="1">
      <alignment horizontal="center" vertical="center" wrapText="1"/>
    </xf>
    <xf numFmtId="168" fontId="1" fillId="0" borderId="88" xfId="0" applyNumberFormat="1" applyFont="1" applyBorder="1" applyAlignment="1">
      <alignment horizontal="center" vertical="center" wrapText="1"/>
    </xf>
    <xf numFmtId="168" fontId="1" fillId="0" borderId="95" xfId="0" applyNumberFormat="1" applyFont="1" applyBorder="1" applyAlignment="1">
      <alignment horizontal="right" indent="2"/>
    </xf>
    <xf numFmtId="168" fontId="1" fillId="0" borderId="93" xfId="0" applyNumberFormat="1" applyFont="1" applyBorder="1" applyAlignment="1">
      <alignment horizontal="right" indent="2"/>
    </xf>
    <xf numFmtId="168" fontId="1" fillId="0" borderId="76" xfId="0" applyNumberFormat="1" applyFont="1" applyBorder="1" applyAlignment="1">
      <alignment horizontal="right" indent="2"/>
    </xf>
    <xf numFmtId="170" fontId="1" fillId="0" borderId="72" xfId="0" applyNumberFormat="1" applyFont="1" applyBorder="1" applyAlignment="1">
      <alignment horizontal="center" wrapText="1"/>
    </xf>
    <xf numFmtId="168" fontId="1" fillId="0" borderId="72" xfId="0" applyNumberFormat="1" applyFont="1" applyBorder="1" applyAlignment="1">
      <alignment horizontal="center"/>
    </xf>
    <xf numFmtId="168" fontId="1" fillId="0" borderId="72" xfId="0" applyNumberFormat="1" applyFont="1" applyBorder="1" applyAlignment="1">
      <alignment horizontal="right" indent="2"/>
    </xf>
    <xf numFmtId="168" fontId="1" fillId="0" borderId="68" xfId="0" applyNumberFormat="1" applyFont="1" applyBorder="1" applyAlignment="1">
      <alignment horizontal="right" indent="2"/>
    </xf>
    <xf numFmtId="168" fontId="1" fillId="0" borderId="69" xfId="0" applyNumberFormat="1" applyFont="1" applyBorder="1" applyAlignment="1">
      <alignment horizontal="right" indent="2"/>
    </xf>
    <xf numFmtId="0" fontId="1" fillId="0" borderId="67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 wrapText="1"/>
    </xf>
    <xf numFmtId="168" fontId="1" fillId="0" borderId="67" xfId="0" applyNumberFormat="1" applyFont="1" applyBorder="1" applyAlignment="1">
      <alignment horizontal="center" vertical="center" wrapText="1"/>
    </xf>
    <xf numFmtId="168" fontId="1" fillId="0" borderId="71" xfId="0" applyNumberFormat="1" applyFont="1" applyBorder="1" applyAlignment="1">
      <alignment horizontal="right" indent="2"/>
    </xf>
    <xf numFmtId="170" fontId="1" fillId="0" borderId="67" xfId="0" applyNumberFormat="1" applyFont="1" applyBorder="1" applyAlignment="1">
      <alignment horizontal="center" wrapText="1"/>
    </xf>
    <xf numFmtId="168" fontId="1" fillId="0" borderId="67" xfId="0" applyNumberFormat="1" applyFont="1" applyBorder="1" applyAlignment="1">
      <alignment horizontal="center"/>
    </xf>
    <xf numFmtId="168" fontId="1" fillId="0" borderId="67" xfId="0" applyNumberFormat="1" applyFont="1" applyBorder="1" applyAlignment="1">
      <alignment horizontal="right" indent="2"/>
    </xf>
    <xf numFmtId="168" fontId="1" fillId="0" borderId="63" xfId="0" applyNumberFormat="1" applyFont="1" applyBorder="1" applyAlignment="1">
      <alignment horizontal="right" indent="2"/>
    </xf>
    <xf numFmtId="168" fontId="1" fillId="0" borderId="64" xfId="0" applyNumberFormat="1" applyFont="1" applyBorder="1" applyAlignment="1">
      <alignment horizontal="right" indent="2"/>
    </xf>
    <xf numFmtId="0" fontId="1" fillId="0" borderId="62" xfId="0" applyFont="1" applyBorder="1" applyAlignment="1">
      <alignment horizontal="center" vertical="center" wrapText="1"/>
    </xf>
    <xf numFmtId="168" fontId="1" fillId="0" borderId="66" xfId="0" applyNumberFormat="1" applyFont="1" applyBorder="1" applyAlignment="1">
      <alignment horizontal="right" indent="2"/>
    </xf>
    <xf numFmtId="170" fontId="1" fillId="0" borderId="62" xfId="0" applyNumberFormat="1" applyFont="1" applyBorder="1" applyAlignment="1">
      <alignment horizontal="center" wrapText="1"/>
    </xf>
    <xf numFmtId="168" fontId="1" fillId="0" borderId="62" xfId="0" applyNumberFormat="1" applyFont="1" applyBorder="1" applyAlignment="1">
      <alignment horizontal="center"/>
    </xf>
    <xf numFmtId="168" fontId="1" fillId="0" borderId="62" xfId="0" applyNumberFormat="1" applyFont="1" applyBorder="1" applyAlignment="1">
      <alignment horizontal="right" indent="2"/>
    </xf>
    <xf numFmtId="168" fontId="1" fillId="0" borderId="58" xfId="0" applyNumberFormat="1" applyFont="1" applyBorder="1" applyAlignment="1">
      <alignment horizontal="right" indent="2"/>
    </xf>
    <xf numFmtId="168" fontId="1" fillId="0" borderId="59" xfId="0" applyNumberFormat="1" applyFont="1" applyBorder="1" applyAlignment="1">
      <alignment horizontal="right" indent="2"/>
    </xf>
    <xf numFmtId="0" fontId="1" fillId="0" borderId="57" xfId="0" applyFont="1" applyBorder="1" applyAlignment="1">
      <alignment horizontal="center" vertical="center" wrapText="1"/>
    </xf>
    <xf numFmtId="168" fontId="1" fillId="0" borderId="61" xfId="0" applyNumberFormat="1" applyFont="1" applyBorder="1" applyAlignment="1">
      <alignment horizontal="right" indent="2"/>
    </xf>
    <xf numFmtId="170" fontId="1" fillId="0" borderId="57" xfId="0" applyNumberFormat="1" applyFont="1" applyBorder="1" applyAlignment="1">
      <alignment horizontal="center" wrapText="1"/>
    </xf>
    <xf numFmtId="168" fontId="1" fillId="0" borderId="57" xfId="0" applyNumberFormat="1" applyFont="1" applyBorder="1" applyAlignment="1">
      <alignment horizontal="center"/>
    </xf>
    <xf numFmtId="168" fontId="1" fillId="0" borderId="57" xfId="0" applyNumberFormat="1" applyFont="1" applyBorder="1" applyAlignment="1">
      <alignment horizontal="right" indent="2"/>
    </xf>
    <xf numFmtId="168" fontId="1" fillId="0" borderId="53" xfId="0" applyNumberFormat="1" applyFont="1" applyBorder="1" applyAlignment="1">
      <alignment horizontal="right" indent="2"/>
    </xf>
    <xf numFmtId="168" fontId="1" fillId="0" borderId="54" xfId="0" applyNumberFormat="1" applyFont="1" applyBorder="1" applyAlignment="1">
      <alignment horizontal="right" indent="2"/>
    </xf>
    <xf numFmtId="0" fontId="1" fillId="0" borderId="52" xfId="0" applyFont="1" applyBorder="1" applyAlignment="1">
      <alignment horizontal="center" vertical="center" wrapText="1"/>
    </xf>
    <xf numFmtId="168" fontId="1" fillId="0" borderId="56" xfId="0" applyNumberFormat="1" applyFont="1" applyBorder="1" applyAlignment="1">
      <alignment horizontal="right" indent="2"/>
    </xf>
    <xf numFmtId="170" fontId="1" fillId="0" borderId="52" xfId="0" applyNumberFormat="1" applyFont="1" applyBorder="1" applyAlignment="1">
      <alignment horizontal="center" wrapText="1"/>
    </xf>
    <xf numFmtId="168" fontId="1" fillId="0" borderId="52" xfId="0" applyNumberFormat="1" applyFont="1" applyBorder="1" applyAlignment="1">
      <alignment horizontal="center"/>
    </xf>
    <xf numFmtId="168" fontId="1" fillId="0" borderId="52" xfId="0" applyNumberFormat="1" applyFont="1" applyBorder="1" applyAlignment="1">
      <alignment horizontal="right" indent="2"/>
    </xf>
    <xf numFmtId="168" fontId="1" fillId="0" borderId="48" xfId="0" applyNumberFormat="1" applyFont="1" applyBorder="1" applyAlignment="1">
      <alignment horizontal="right" indent="2"/>
    </xf>
    <xf numFmtId="168" fontId="1" fillId="0" borderId="49" xfId="0" applyNumberFormat="1" applyFont="1" applyBorder="1" applyAlignment="1">
      <alignment horizontal="right" indent="2"/>
    </xf>
    <xf numFmtId="0" fontId="1" fillId="0" borderId="47" xfId="0" applyFont="1" applyBorder="1" applyAlignment="1">
      <alignment horizontal="center" vertical="center" wrapText="1"/>
    </xf>
    <xf numFmtId="168" fontId="1" fillId="0" borderId="51" xfId="0" applyNumberFormat="1" applyFont="1" applyBorder="1" applyAlignment="1">
      <alignment horizontal="right" indent="2"/>
    </xf>
    <xf numFmtId="170" fontId="1" fillId="0" borderId="47" xfId="0" applyNumberFormat="1" applyFont="1" applyBorder="1" applyAlignment="1">
      <alignment horizontal="center" wrapText="1"/>
    </xf>
    <xf numFmtId="168" fontId="1" fillId="0" borderId="47" xfId="0" applyNumberFormat="1" applyFont="1" applyBorder="1" applyAlignment="1">
      <alignment horizontal="center"/>
    </xf>
    <xf numFmtId="168" fontId="1" fillId="0" borderId="47" xfId="0" applyNumberFormat="1" applyFont="1" applyBorder="1" applyAlignment="1">
      <alignment horizontal="right" indent="2"/>
    </xf>
    <xf numFmtId="0" fontId="1" fillId="0" borderId="88" xfId="0" applyFont="1" applyFill="1" applyBorder="1" applyAlignment="1">
      <alignment horizontal="left" wrapText="1" indent="1"/>
    </xf>
    <xf numFmtId="168" fontId="1" fillId="0" borderId="43" xfId="0" applyNumberFormat="1" applyFont="1" applyBorder="1" applyAlignment="1">
      <alignment horizontal="right" indent="2"/>
    </xf>
    <xf numFmtId="168" fontId="1" fillId="0" borderId="43" xfId="0" applyNumberFormat="1" applyFont="1" applyFill="1" applyBorder="1" applyAlignment="1">
      <alignment horizontal="right" indent="2"/>
    </xf>
    <xf numFmtId="168" fontId="1" fillId="0" borderId="44" xfId="0" applyNumberFormat="1" applyFont="1" applyFill="1" applyBorder="1" applyAlignment="1">
      <alignment horizontal="right" indent="2"/>
    </xf>
    <xf numFmtId="0" fontId="1" fillId="0" borderId="42" xfId="0" applyFont="1" applyFill="1" applyBorder="1" applyAlignment="1">
      <alignment horizontal="center" vertical="center" wrapText="1"/>
    </xf>
    <xf numFmtId="0" fontId="1" fillId="0" borderId="88" xfId="0" applyFont="1" applyFill="1" applyBorder="1" applyAlignment="1">
      <alignment horizontal="center" vertical="center" wrapText="1"/>
    </xf>
    <xf numFmtId="168" fontId="1" fillId="0" borderId="95" xfId="0" applyNumberFormat="1" applyFont="1" applyFill="1" applyBorder="1" applyAlignment="1">
      <alignment horizontal="right" indent="2"/>
    </xf>
    <xf numFmtId="168" fontId="1" fillId="0" borderId="93" xfId="0" applyNumberFormat="1" applyFont="1" applyFill="1" applyBorder="1" applyAlignment="1">
      <alignment horizontal="right" indent="2"/>
    </xf>
    <xf numFmtId="168" fontId="1" fillId="0" borderId="46" xfId="0" applyNumberFormat="1" applyFont="1" applyFill="1" applyBorder="1" applyAlignment="1">
      <alignment horizontal="right" indent="2"/>
    </xf>
    <xf numFmtId="170" fontId="1" fillId="0" borderId="42" xfId="0" applyNumberFormat="1" applyFont="1" applyFill="1" applyBorder="1" applyAlignment="1">
      <alignment horizontal="center" wrapText="1"/>
    </xf>
    <xf numFmtId="168" fontId="1" fillId="0" borderId="42" xfId="0" applyNumberFormat="1" applyFont="1" applyFill="1" applyBorder="1" applyAlignment="1">
      <alignment horizontal="center"/>
    </xf>
    <xf numFmtId="168" fontId="1" fillId="0" borderId="42" xfId="0" applyNumberFormat="1" applyFont="1" applyFill="1" applyBorder="1" applyAlignment="1">
      <alignment horizontal="right" indent="2"/>
    </xf>
    <xf numFmtId="168" fontId="1" fillId="0" borderId="33" xfId="0" applyNumberFormat="1" applyFont="1" applyBorder="1" applyAlignment="1">
      <alignment horizontal="right" indent="2"/>
    </xf>
    <xf numFmtId="168" fontId="1" fillId="0" borderId="36" xfId="0" applyNumberFormat="1" applyFont="1" applyBorder="1" applyAlignment="1">
      <alignment horizontal="right" indent="2"/>
    </xf>
    <xf numFmtId="168" fontId="1" fillId="0" borderId="33" xfId="0" applyNumberFormat="1" applyFont="1" applyFill="1" applyBorder="1" applyAlignment="1">
      <alignment horizontal="right" indent="2"/>
    </xf>
    <xf numFmtId="168" fontId="1" fillId="0" borderId="36" xfId="0" applyNumberFormat="1" applyFont="1" applyFill="1" applyBorder="1" applyAlignment="1">
      <alignment horizontal="right" indent="2"/>
    </xf>
    <xf numFmtId="49" fontId="1" fillId="0" borderId="93" xfId="0" applyNumberFormat="1" applyFont="1" applyFill="1" applyBorder="1" applyAlignment="1">
      <alignment horizontal="right" indent="2"/>
    </xf>
    <xf numFmtId="2" fontId="1" fillId="0" borderId="36" xfId="0" applyNumberFormat="1" applyFont="1" applyFill="1" applyBorder="1" applyAlignment="1">
      <alignment horizontal="right" indent="2"/>
    </xf>
    <xf numFmtId="168" fontId="1" fillId="0" borderId="88" xfId="0" applyNumberFormat="1" applyFont="1" applyFill="1" applyBorder="1" applyAlignment="1">
      <alignment horizontal="center" vertical="center" wrapText="1"/>
    </xf>
    <xf numFmtId="0" fontId="2" fillId="0" borderId="88" xfId="0" applyFont="1" applyFill="1" applyBorder="1" applyAlignment="1">
      <alignment horizontal="left" wrapText="1" indent="2"/>
    </xf>
    <xf numFmtId="168" fontId="2" fillId="0" borderId="33" xfId="0" applyNumberFormat="1" applyFont="1" applyBorder="1" applyAlignment="1">
      <alignment horizontal="right" indent="2"/>
    </xf>
    <xf numFmtId="168" fontId="2" fillId="0" borderId="33" xfId="0" applyNumberFormat="1" applyFont="1" applyFill="1" applyBorder="1" applyAlignment="1">
      <alignment horizontal="right" indent="2"/>
    </xf>
    <xf numFmtId="168" fontId="2" fillId="0" borderId="36" xfId="0" applyNumberFormat="1" applyFont="1" applyFill="1" applyBorder="1" applyAlignment="1">
      <alignment horizontal="right" indent="2"/>
    </xf>
    <xf numFmtId="0" fontId="2" fillId="0" borderId="88" xfId="0" applyFont="1" applyFill="1" applyBorder="1" applyAlignment="1">
      <alignment horizontal="center" wrapText="1"/>
    </xf>
    <xf numFmtId="168" fontId="2" fillId="0" borderId="95" xfId="0" applyNumberFormat="1" applyFont="1" applyFill="1" applyBorder="1" applyAlignment="1">
      <alignment horizontal="right" indent="2"/>
    </xf>
    <xf numFmtId="168" fontId="2" fillId="0" borderId="93" xfId="0" applyNumberFormat="1" applyFont="1" applyFill="1" applyBorder="1" applyAlignment="1">
      <alignment horizontal="right" indent="2"/>
    </xf>
    <xf numFmtId="0" fontId="1" fillId="0" borderId="88" xfId="0" applyFont="1" applyBorder="1" applyAlignment="1">
      <alignment horizontal="left" wrapText="1" indent="4"/>
    </xf>
    <xf numFmtId="168" fontId="1" fillId="0" borderId="88" xfId="0" applyNumberFormat="1" applyFont="1" applyBorder="1" applyAlignment="1">
      <alignment horizontal="center"/>
    </xf>
    <xf numFmtId="0" fontId="5" fillId="0" borderId="88" xfId="0" applyFont="1" applyBorder="1"/>
    <xf numFmtId="0" fontId="1" fillId="0" borderId="88" xfId="0" applyFont="1" applyBorder="1" applyAlignment="1">
      <alignment horizontal="left" wrapText="1" indent="2"/>
    </xf>
    <xf numFmtId="2" fontId="1" fillId="0" borderId="33" xfId="0" applyNumberFormat="1" applyFont="1" applyBorder="1" applyAlignment="1">
      <alignment horizontal="right" indent="2"/>
    </xf>
    <xf numFmtId="168" fontId="2" fillId="0" borderId="36" xfId="0" applyNumberFormat="1" applyFont="1" applyBorder="1" applyAlignment="1">
      <alignment horizontal="right" indent="2"/>
    </xf>
    <xf numFmtId="0" fontId="5" fillId="0" borderId="31" xfId="0" applyFont="1" applyBorder="1" applyAlignment="1">
      <alignment horizontal="right" indent="2"/>
    </xf>
    <xf numFmtId="168" fontId="1" fillId="0" borderId="96" xfId="0" applyNumberFormat="1" applyFont="1" applyBorder="1" applyAlignment="1">
      <alignment horizontal="right" indent="2"/>
    </xf>
    <xf numFmtId="168" fontId="1" fillId="0" borderId="97" xfId="0" applyNumberFormat="1" applyFont="1" applyBorder="1" applyAlignment="1">
      <alignment horizontal="right" indent="2"/>
    </xf>
    <xf numFmtId="0" fontId="1" fillId="0" borderId="98" xfId="0" applyFont="1" applyBorder="1" applyAlignment="1">
      <alignment horizontal="center" vertical="center" wrapText="1"/>
    </xf>
    <xf numFmtId="168" fontId="1" fillId="0" borderId="31" xfId="0" applyNumberFormat="1" applyFont="1" applyBorder="1" applyAlignment="1">
      <alignment horizontal="right" indent="2"/>
    </xf>
    <xf numFmtId="170" fontId="1" fillId="0" borderId="93" xfId="0" applyNumberFormat="1" applyFont="1" applyBorder="1" applyAlignment="1">
      <alignment horizontal="center" wrapText="1"/>
    </xf>
    <xf numFmtId="168" fontId="1" fillId="0" borderId="93" xfId="0" applyNumberFormat="1" applyFont="1" applyBorder="1" applyAlignment="1">
      <alignment horizontal="center"/>
    </xf>
    <xf numFmtId="170" fontId="1" fillId="0" borderId="98" xfId="0" applyNumberFormat="1" applyFont="1" applyBorder="1" applyAlignment="1">
      <alignment horizontal="center" wrapText="1"/>
    </xf>
    <xf numFmtId="168" fontId="1" fillId="0" borderId="98" xfId="0" applyNumberFormat="1" applyFont="1" applyBorder="1" applyAlignment="1">
      <alignment horizontal="center"/>
    </xf>
    <xf numFmtId="168" fontId="1" fillId="0" borderId="98" xfId="0" applyNumberFormat="1" applyFont="1" applyBorder="1" applyAlignment="1">
      <alignment horizontal="right" indent="2"/>
    </xf>
    <xf numFmtId="168" fontId="1" fillId="0" borderId="98" xfId="0" applyNumberFormat="1" applyFont="1" applyBorder="1" applyAlignment="1">
      <alignment horizontal="center" vertical="center" wrapText="1"/>
    </xf>
    <xf numFmtId="168" fontId="1" fillId="0" borderId="98" xfId="0" applyNumberFormat="1" applyFont="1" applyBorder="1" applyAlignment="1">
      <alignment horizontal="center" wrapText="1"/>
    </xf>
    <xf numFmtId="0" fontId="1" fillId="0" borderId="98" xfId="0" applyFont="1" applyBorder="1" applyAlignment="1">
      <alignment horizontal="center" wrapText="1"/>
    </xf>
    <xf numFmtId="0" fontId="1" fillId="0" borderId="88" xfId="0" applyFont="1" applyBorder="1" applyAlignment="1">
      <alignment horizontal="center" wrapText="1"/>
    </xf>
    <xf numFmtId="0" fontId="5" fillId="0" borderId="98" xfId="0" applyFont="1" applyBorder="1" applyAlignment="1">
      <alignment horizontal="right" indent="2"/>
    </xf>
    <xf numFmtId="0" fontId="5" fillId="0" borderId="99" xfId="0" applyFont="1" applyBorder="1" applyAlignment="1">
      <alignment horizontal="right" indent="2"/>
    </xf>
    <xf numFmtId="49" fontId="1" fillId="0" borderId="98" xfId="0" applyNumberFormat="1" applyFont="1" applyBorder="1" applyAlignment="1">
      <alignment horizontal="right" indent="2"/>
    </xf>
    <xf numFmtId="168" fontId="2" fillId="0" borderId="96" xfId="0" applyNumberFormat="1" applyFont="1" applyBorder="1" applyAlignment="1">
      <alignment horizontal="right" indent="2"/>
    </xf>
    <xf numFmtId="168" fontId="2" fillId="0" borderId="97" xfId="0" applyNumberFormat="1" applyFont="1" applyBorder="1" applyAlignment="1">
      <alignment horizontal="center"/>
    </xf>
    <xf numFmtId="0" fontId="2" fillId="0" borderId="98" xfId="0" applyFont="1" applyBorder="1" applyAlignment="1">
      <alignment horizontal="center" wrapText="1"/>
    </xf>
    <xf numFmtId="168" fontId="2" fillId="0" borderId="97" xfId="0" applyNumberFormat="1" applyFont="1" applyBorder="1" applyAlignment="1">
      <alignment horizontal="right" indent="2"/>
    </xf>
    <xf numFmtId="168" fontId="2" fillId="0" borderId="31" xfId="0" applyNumberFormat="1" applyFont="1" applyBorder="1" applyAlignment="1">
      <alignment horizontal="right" indent="2"/>
    </xf>
    <xf numFmtId="170" fontId="2" fillId="0" borderId="93" xfId="0" applyNumberFormat="1" applyFont="1" applyBorder="1" applyAlignment="1">
      <alignment horizontal="center" wrapText="1"/>
    </xf>
    <xf numFmtId="168" fontId="2" fillId="0" borderId="93" xfId="0" applyNumberFormat="1" applyFont="1" applyBorder="1" applyAlignment="1">
      <alignment horizontal="center"/>
    </xf>
    <xf numFmtId="168" fontId="1" fillId="0" borderId="97" xfId="0" applyNumberFormat="1" applyFont="1" applyBorder="1" applyAlignment="1">
      <alignment horizontal="center"/>
    </xf>
    <xf numFmtId="2" fontId="1" fillId="0" borderId="98" xfId="0" applyNumberFormat="1" applyFont="1" applyBorder="1" applyAlignment="1">
      <alignment horizontal="right" indent="2"/>
    </xf>
    <xf numFmtId="168" fontId="1" fillId="0" borderId="88" xfId="0" applyNumberFormat="1" applyFont="1" applyBorder="1" applyAlignment="1">
      <alignment horizontal="center" wrapText="1"/>
    </xf>
    <xf numFmtId="2" fontId="1" fillId="0" borderId="93" xfId="0" applyNumberFormat="1" applyFont="1" applyBorder="1" applyAlignment="1">
      <alignment horizontal="right" indent="2"/>
    </xf>
    <xf numFmtId="49" fontId="1" fillId="0" borderId="93" xfId="0" applyNumberFormat="1" applyFont="1" applyBorder="1" applyAlignment="1">
      <alignment horizontal="right" indent="2"/>
    </xf>
    <xf numFmtId="2" fontId="1" fillId="0" borderId="31" xfId="0" applyNumberFormat="1" applyFont="1" applyBorder="1" applyAlignment="1">
      <alignment horizontal="right" indent="2"/>
    </xf>
    <xf numFmtId="168" fontId="2" fillId="0" borderId="98" xfId="0" applyNumberFormat="1" applyFont="1" applyBorder="1" applyAlignment="1">
      <alignment horizontal="center" wrapText="1"/>
    </xf>
    <xf numFmtId="168" fontId="2" fillId="0" borderId="88" xfId="0" applyNumberFormat="1" applyFont="1" applyBorder="1" applyAlignment="1">
      <alignment horizontal="center" wrapText="1"/>
    </xf>
    <xf numFmtId="170" fontId="2" fillId="0" borderId="98" xfId="0" applyNumberFormat="1" applyFont="1" applyBorder="1" applyAlignment="1">
      <alignment horizontal="center" wrapText="1"/>
    </xf>
    <xf numFmtId="168" fontId="2" fillId="0" borderId="98" xfId="0" applyNumberFormat="1" applyFont="1" applyBorder="1" applyAlignment="1">
      <alignment horizontal="center"/>
    </xf>
    <xf numFmtId="168" fontId="2" fillId="0" borderId="98" xfId="0" applyNumberFormat="1" applyFont="1" applyBorder="1" applyAlignment="1">
      <alignment horizontal="right" indent="2"/>
    </xf>
    <xf numFmtId="2" fontId="1" fillId="0" borderId="96" xfId="0" applyNumberFormat="1" applyFont="1" applyBorder="1" applyAlignment="1">
      <alignment horizontal="right" indent="2"/>
    </xf>
    <xf numFmtId="2" fontId="1" fillId="0" borderId="99" xfId="0" applyNumberFormat="1" applyFont="1" applyBorder="1" applyAlignment="1">
      <alignment horizontal="right" indent="2"/>
    </xf>
    <xf numFmtId="49" fontId="1" fillId="0" borderId="31" xfId="0" applyNumberFormat="1" applyFont="1" applyBorder="1" applyAlignment="1">
      <alignment horizontal="right" indent="2"/>
    </xf>
    <xf numFmtId="168" fontId="1" fillId="0" borderId="88" xfId="0" applyNumberFormat="1" applyFont="1" applyBorder="1" applyAlignment="1">
      <alignment horizontal="right" indent="2"/>
    </xf>
    <xf numFmtId="168" fontId="2" fillId="0" borderId="88" xfId="0" applyNumberFormat="1" applyFont="1" applyBorder="1" applyAlignment="1">
      <alignment horizontal="center"/>
    </xf>
    <xf numFmtId="0" fontId="5" fillId="0" borderId="98" xfId="0" applyFont="1" applyBorder="1"/>
    <xf numFmtId="2" fontId="1" fillId="0" borderId="95" xfId="0" applyNumberFormat="1" applyFont="1" applyBorder="1" applyAlignment="1">
      <alignment horizontal="right" indent="2"/>
    </xf>
    <xf numFmtId="2" fontId="1" fillId="0" borderId="98" xfId="0" applyNumberFormat="1" applyFont="1" applyBorder="1" applyAlignment="1">
      <alignment horizontal="center"/>
    </xf>
    <xf numFmtId="168" fontId="1" fillId="0" borderId="99" xfId="0" applyNumberFormat="1" applyFont="1" applyBorder="1" applyAlignment="1">
      <alignment horizontal="center"/>
    </xf>
    <xf numFmtId="2" fontId="1" fillId="0" borderId="88" xfId="0" applyNumberFormat="1" applyFont="1" applyBorder="1" applyAlignment="1">
      <alignment horizontal="right" indent="2"/>
    </xf>
    <xf numFmtId="168" fontId="2" fillId="0" borderId="31" xfId="0" applyNumberFormat="1" applyFont="1" applyBorder="1" applyAlignment="1">
      <alignment horizontal="center"/>
    </xf>
    <xf numFmtId="168" fontId="2" fillId="0" borderId="88" xfId="0" applyNumberFormat="1" applyFont="1" applyBorder="1" applyAlignment="1">
      <alignment horizontal="right" indent="2"/>
    </xf>
    <xf numFmtId="0" fontId="1" fillId="0" borderId="100" xfId="0" applyFont="1" applyBorder="1" applyAlignment="1">
      <alignment horizontal="center" wrapText="1"/>
    </xf>
    <xf numFmtId="0" fontId="1" fillId="0" borderId="100" xfId="0" applyFont="1" applyBorder="1" applyAlignment="1">
      <alignment horizontal="left" wrapText="1" indent="1"/>
    </xf>
    <xf numFmtId="168" fontId="1" fillId="0" borderId="100" xfId="0" applyNumberFormat="1" applyFont="1" applyBorder="1" applyAlignment="1">
      <alignment horizontal="center" wrapText="1"/>
    </xf>
    <xf numFmtId="2" fontId="1" fillId="0" borderId="97" xfId="0" applyNumberFormat="1" applyFont="1" applyBorder="1" applyAlignment="1">
      <alignment horizontal="center"/>
    </xf>
    <xf numFmtId="168" fontId="2" fillId="0" borderId="100" xfId="0" applyNumberFormat="1" applyFont="1" applyBorder="1" applyAlignment="1">
      <alignment horizontal="center" wrapText="1"/>
    </xf>
    <xf numFmtId="0" fontId="2" fillId="0" borderId="100" xfId="0" applyFont="1" applyBorder="1" applyAlignment="1">
      <alignment horizontal="center" wrapText="1"/>
    </xf>
    <xf numFmtId="168" fontId="1" fillId="0" borderId="101" xfId="0" applyNumberFormat="1" applyFont="1" applyBorder="1" applyAlignment="1">
      <alignment horizontal="center"/>
    </xf>
    <xf numFmtId="168" fontId="1" fillId="0" borderId="101" xfId="0" applyNumberFormat="1" applyFont="1" applyBorder="1" applyAlignment="1">
      <alignment horizontal="right" indent="2"/>
    </xf>
    <xf numFmtId="168" fontId="2" fillId="0" borderId="88" xfId="0" applyNumberFormat="1" applyFont="1" applyBorder="1" applyAlignment="1">
      <alignment horizontal="right" indent="1"/>
    </xf>
    <xf numFmtId="0" fontId="5" fillId="0" borderId="82" xfId="0" applyFont="1" applyBorder="1" applyAlignment="1"/>
    <xf numFmtId="168" fontId="2" fillId="0" borderId="82" xfId="0" applyNumberFormat="1" applyFont="1" applyBorder="1" applyAlignment="1">
      <alignment horizontal="right" indent="1"/>
    </xf>
    <xf numFmtId="0" fontId="2" fillId="0" borderId="100" xfId="0" applyFont="1" applyBorder="1" applyAlignment="1">
      <alignment horizontal="left" wrapText="1" indent="2"/>
    </xf>
    <xf numFmtId="0" fontId="7" fillId="0" borderId="0" xfId="0" applyFont="1" applyAlignment="1"/>
    <xf numFmtId="168" fontId="2" fillId="0" borderId="82" xfId="0" applyNumberFormat="1" applyFont="1" applyBorder="1" applyAlignment="1">
      <alignment horizontal="right" indent="2"/>
    </xf>
    <xf numFmtId="2" fontId="1" fillId="0" borderId="57" xfId="0" applyNumberFormat="1" applyFont="1" applyBorder="1" applyAlignment="1">
      <alignment horizontal="right" indent="2"/>
    </xf>
    <xf numFmtId="168" fontId="1" fillId="0" borderId="42" xfId="0" applyNumberFormat="1" applyFont="1" applyBorder="1" applyAlignment="1">
      <alignment horizontal="right" indent="2"/>
    </xf>
    <xf numFmtId="2" fontId="1" fillId="0" borderId="37" xfId="0" applyNumberFormat="1" applyFont="1" applyBorder="1" applyAlignment="1">
      <alignment horizontal="right" indent="2"/>
    </xf>
    <xf numFmtId="168" fontId="1" fillId="0" borderId="88" xfId="0" applyNumberFormat="1" applyFont="1" applyFill="1" applyBorder="1" applyAlignment="1">
      <alignment horizontal="right" indent="2"/>
    </xf>
    <xf numFmtId="168" fontId="1" fillId="0" borderId="99" xfId="0" applyNumberFormat="1" applyFont="1" applyBorder="1" applyAlignment="1">
      <alignment horizontal="right" indent="2"/>
    </xf>
    <xf numFmtId="168" fontId="34" fillId="0" borderId="0" xfId="0" applyNumberFormat="1" applyFont="1" applyBorder="1" applyAlignment="1">
      <alignment horizontal="right" indent="1"/>
    </xf>
    <xf numFmtId="168" fontId="2" fillId="0" borderId="98" xfId="0" applyNumberFormat="1" applyFont="1" applyBorder="1" applyAlignment="1">
      <alignment horizontal="right" indent="1"/>
    </xf>
    <xf numFmtId="1" fontId="2" fillId="0" borderId="94" xfId="0" applyNumberFormat="1" applyFont="1" applyBorder="1" applyAlignment="1">
      <alignment horizontal="right" indent="1"/>
    </xf>
    <xf numFmtId="1" fontId="1" fillId="0" borderId="94" xfId="0" applyNumberFormat="1" applyFont="1" applyBorder="1" applyAlignment="1">
      <alignment horizontal="right" indent="1"/>
    </xf>
    <xf numFmtId="170" fontId="1" fillId="0" borderId="93" xfId="0" applyNumberFormat="1" applyFont="1" applyFill="1" applyBorder="1" applyAlignment="1">
      <alignment horizontal="center" wrapText="1"/>
    </xf>
    <xf numFmtId="168" fontId="1" fillId="0" borderId="93" xfId="0" applyNumberFormat="1" applyFont="1" applyFill="1" applyBorder="1" applyAlignment="1">
      <alignment horizontal="center" wrapText="1"/>
    </xf>
    <xf numFmtId="170" fontId="2" fillId="0" borderId="93" xfId="0" applyNumberFormat="1" applyFont="1" applyFill="1" applyBorder="1" applyAlignment="1">
      <alignment horizontal="center" wrapText="1"/>
    </xf>
    <xf numFmtId="0" fontId="5" fillId="0" borderId="93" xfId="0" applyFont="1" applyBorder="1"/>
    <xf numFmtId="171" fontId="1" fillId="0" borderId="93" xfId="0" applyNumberFormat="1" applyFont="1" applyBorder="1" applyAlignment="1">
      <alignment horizontal="center" wrapText="1"/>
    </xf>
    <xf numFmtId="170" fontId="1" fillId="0" borderId="8" xfId="0" applyNumberFormat="1" applyFont="1" applyBorder="1" applyAlignment="1">
      <alignment horizont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 indent="2"/>
    </xf>
    <xf numFmtId="0" fontId="1" fillId="0" borderId="0" xfId="0" applyFont="1" applyBorder="1" applyAlignment="1">
      <alignment horizontal="left" wrapText="1" indent="4"/>
    </xf>
    <xf numFmtId="0" fontId="1" fillId="0" borderId="0" xfId="0" applyFont="1" applyBorder="1" applyAlignment="1">
      <alignment horizontal="left" wrapText="1" indent="2"/>
    </xf>
    <xf numFmtId="0" fontId="2" fillId="0" borderId="0" xfId="0" applyFont="1" applyFill="1" applyBorder="1" applyAlignment="1">
      <alignment horizontal="left" wrapText="1" indent="2"/>
    </xf>
    <xf numFmtId="0" fontId="1" fillId="0" borderId="0" xfId="0" applyFont="1" applyFill="1" applyBorder="1" applyAlignment="1">
      <alignment horizontal="left" wrapText="1" indent="1"/>
    </xf>
    <xf numFmtId="0" fontId="1" fillId="0" borderId="11" xfId="0" applyFont="1" applyBorder="1" applyAlignment="1">
      <alignment horizontal="left" wrapText="1" indent="1"/>
    </xf>
    <xf numFmtId="0" fontId="2" fillId="0" borderId="101" xfId="0" applyFont="1" applyBorder="1" applyAlignment="1">
      <alignment horizontal="center" wrapText="1"/>
    </xf>
    <xf numFmtId="168" fontId="2" fillId="0" borderId="95" xfId="0" applyNumberFormat="1" applyFont="1" applyBorder="1" applyAlignment="1">
      <alignment horizontal="right" indent="1"/>
    </xf>
    <xf numFmtId="168" fontId="2" fillId="0" borderId="35" xfId="0" applyNumberFormat="1" applyFont="1" applyBorder="1" applyAlignment="1">
      <alignment horizontal="right" indent="1"/>
    </xf>
    <xf numFmtId="168" fontId="2" fillId="0" borderId="99" xfId="0" applyNumberFormat="1" applyFont="1" applyBorder="1" applyAlignment="1">
      <alignment horizontal="right" indent="1"/>
    </xf>
    <xf numFmtId="168" fontId="2" fillId="0" borderId="100" xfId="0" applyNumberFormat="1" applyFont="1" applyBorder="1" applyAlignment="1">
      <alignment horizontal="right" indent="1"/>
    </xf>
    <xf numFmtId="168" fontId="1" fillId="0" borderId="95" xfId="0" applyNumberFormat="1" applyFont="1" applyBorder="1" applyAlignment="1">
      <alignment horizontal="right" indent="1"/>
    </xf>
    <xf numFmtId="168" fontId="1" fillId="0" borderId="98" xfId="0" applyNumberFormat="1" applyFont="1" applyBorder="1" applyAlignment="1">
      <alignment horizontal="right" indent="1"/>
    </xf>
    <xf numFmtId="168" fontId="1" fillId="0" borderId="100" xfId="0" applyNumberFormat="1" applyFont="1" applyBorder="1" applyAlignment="1">
      <alignment horizontal="right" indent="1"/>
    </xf>
    <xf numFmtId="168" fontId="1" fillId="0" borderId="35" xfId="0" applyNumberFormat="1" applyFont="1" applyBorder="1" applyAlignment="1">
      <alignment horizontal="right" indent="1"/>
    </xf>
    <xf numFmtId="168" fontId="1" fillId="0" borderId="99" xfId="0" applyNumberFormat="1" applyFont="1" applyBorder="1" applyAlignment="1">
      <alignment horizontal="right" indent="1"/>
    </xf>
    <xf numFmtId="0" fontId="1" fillId="0" borderId="93" xfId="0" applyFont="1" applyBorder="1" applyAlignment="1">
      <alignment horizontal="right" indent="1"/>
    </xf>
    <xf numFmtId="0" fontId="7" fillId="0" borderId="0" xfId="0" applyFont="1" applyBorder="1" applyAlignment="1">
      <alignment horizontal="right" indent="1"/>
    </xf>
    <xf numFmtId="168" fontId="1" fillId="0" borderId="102" xfId="0" applyNumberFormat="1" applyFont="1" applyBorder="1" applyAlignment="1">
      <alignment horizontal="right" indent="1"/>
    </xf>
    <xf numFmtId="168" fontId="1" fillId="0" borderId="103" xfId="0" applyNumberFormat="1" applyFont="1" applyBorder="1" applyAlignment="1">
      <alignment horizontal="right" indent="1"/>
    </xf>
    <xf numFmtId="168" fontId="1" fillId="0" borderId="104" xfId="0" applyNumberFormat="1" applyFont="1" applyBorder="1" applyAlignment="1">
      <alignment horizontal="right" indent="1"/>
    </xf>
    <xf numFmtId="168" fontId="2" fillId="0" borderId="102" xfId="0" applyNumberFormat="1" applyFont="1" applyBorder="1" applyAlignment="1">
      <alignment horizontal="right" indent="1"/>
    </xf>
    <xf numFmtId="168" fontId="2" fillId="0" borderId="103" xfId="0" applyNumberFormat="1" applyFont="1" applyBorder="1" applyAlignment="1">
      <alignment horizontal="right" indent="1"/>
    </xf>
    <xf numFmtId="168" fontId="2" fillId="0" borderId="104" xfId="0" applyNumberFormat="1" applyFont="1" applyBorder="1" applyAlignment="1">
      <alignment horizontal="right" indent="1"/>
    </xf>
    <xf numFmtId="168" fontId="2" fillId="0" borderId="95" xfId="0" applyNumberFormat="1" applyFont="1" applyFill="1" applyBorder="1" applyAlignment="1">
      <alignment horizontal="right" indent="1"/>
    </xf>
    <xf numFmtId="168" fontId="2" fillId="0" borderId="102" xfId="0" applyNumberFormat="1" applyFont="1" applyFill="1" applyBorder="1" applyAlignment="1">
      <alignment horizontal="right" indent="1"/>
    </xf>
    <xf numFmtId="168" fontId="2" fillId="0" borderId="103" xfId="0" applyNumberFormat="1" applyFont="1" applyFill="1" applyBorder="1" applyAlignment="1">
      <alignment horizontal="right" indent="1"/>
    </xf>
    <xf numFmtId="168" fontId="2" fillId="0" borderId="104" xfId="0" applyNumberFormat="1" applyFont="1" applyFill="1" applyBorder="1" applyAlignment="1">
      <alignment horizontal="right" indent="1"/>
    </xf>
    <xf numFmtId="168" fontId="2" fillId="0" borderId="98" xfId="0" applyNumberFormat="1" applyFont="1" applyFill="1" applyBorder="1" applyAlignment="1">
      <alignment horizontal="right" indent="1"/>
    </xf>
    <xf numFmtId="168" fontId="2" fillId="0" borderId="100" xfId="0" applyNumberFormat="1" applyFont="1" applyFill="1" applyBorder="1" applyAlignment="1">
      <alignment horizontal="right" indent="1"/>
    </xf>
    <xf numFmtId="168" fontId="2" fillId="0" borderId="35" xfId="0" applyNumberFormat="1" applyFont="1" applyFill="1" applyBorder="1" applyAlignment="1">
      <alignment horizontal="right" indent="1"/>
    </xf>
    <xf numFmtId="168" fontId="2" fillId="0" borderId="99" xfId="0" applyNumberFormat="1" applyFont="1" applyFill="1" applyBorder="1" applyAlignment="1">
      <alignment horizontal="right" indent="1"/>
    </xf>
    <xf numFmtId="0" fontId="2" fillId="0" borderId="93" xfId="0" applyFont="1" applyFill="1" applyBorder="1" applyAlignment="1">
      <alignment horizontal="right" indent="1"/>
    </xf>
    <xf numFmtId="0" fontId="2" fillId="0" borderId="0" xfId="0" applyFont="1" applyFill="1" applyBorder="1" applyAlignment="1">
      <alignment horizontal="right" indent="1"/>
    </xf>
    <xf numFmtId="168" fontId="1" fillId="0" borderId="95" xfId="0" applyNumberFormat="1" applyFont="1" applyFill="1" applyBorder="1" applyAlignment="1">
      <alignment horizontal="right" indent="1"/>
    </xf>
    <xf numFmtId="168" fontId="1" fillId="0" borderId="102" xfId="0" applyNumberFormat="1" applyFont="1" applyFill="1" applyBorder="1" applyAlignment="1">
      <alignment horizontal="right" indent="1"/>
    </xf>
    <xf numFmtId="168" fontId="1" fillId="0" borderId="103" xfId="0" applyNumberFormat="1" applyFont="1" applyFill="1" applyBorder="1" applyAlignment="1">
      <alignment horizontal="right" indent="1"/>
    </xf>
    <xf numFmtId="168" fontId="1" fillId="0" borderId="104" xfId="0" applyNumberFormat="1" applyFont="1" applyFill="1" applyBorder="1" applyAlignment="1">
      <alignment horizontal="right" indent="1"/>
    </xf>
    <xf numFmtId="168" fontId="1" fillId="0" borderId="98" xfId="0" applyNumberFormat="1" applyFont="1" applyFill="1" applyBorder="1" applyAlignment="1">
      <alignment horizontal="right" indent="1"/>
    </xf>
    <xf numFmtId="168" fontId="1" fillId="0" borderId="100" xfId="0" applyNumberFormat="1" applyFont="1" applyFill="1" applyBorder="1" applyAlignment="1">
      <alignment horizontal="right" indent="1"/>
    </xf>
    <xf numFmtId="168" fontId="1" fillId="0" borderId="35" xfId="0" applyNumberFormat="1" applyFont="1" applyFill="1" applyBorder="1" applyAlignment="1">
      <alignment horizontal="right" indent="1"/>
    </xf>
    <xf numFmtId="168" fontId="1" fillId="0" borderId="99" xfId="0" applyNumberFormat="1" applyFont="1" applyFill="1" applyBorder="1" applyAlignment="1">
      <alignment horizontal="right" indent="1"/>
    </xf>
    <xf numFmtId="168" fontId="1" fillId="0" borderId="101" xfId="0" applyNumberFormat="1" applyFont="1" applyBorder="1" applyAlignment="1">
      <alignment horizontal="right" indent="1"/>
    </xf>
    <xf numFmtId="168" fontId="1" fillId="0" borderId="106" xfId="0" applyNumberFormat="1" applyFont="1" applyBorder="1" applyAlignment="1">
      <alignment horizontal="right" indent="1"/>
    </xf>
    <xf numFmtId="168" fontId="1" fillId="0" borderId="107" xfId="0" applyNumberFormat="1" applyFont="1" applyBorder="1" applyAlignment="1">
      <alignment horizontal="right" indent="1"/>
    </xf>
    <xf numFmtId="168" fontId="1" fillId="0" borderId="108" xfId="0" applyNumberFormat="1" applyFont="1" applyBorder="1" applyAlignment="1">
      <alignment horizontal="right" indent="1"/>
    </xf>
    <xf numFmtId="168" fontId="1" fillId="0" borderId="109" xfId="0" applyNumberFormat="1" applyFont="1" applyBorder="1" applyAlignment="1">
      <alignment horizontal="right" indent="1"/>
    </xf>
    <xf numFmtId="168" fontId="1" fillId="0" borderId="110" xfId="0" applyNumberFormat="1" applyFont="1" applyBorder="1" applyAlignment="1">
      <alignment horizontal="right" indent="1"/>
    </xf>
    <xf numFmtId="168" fontId="2" fillId="0" borderId="106" xfId="0" applyNumberFormat="1" applyFont="1" applyFill="1" applyBorder="1" applyAlignment="1">
      <alignment horizontal="right" indent="1"/>
    </xf>
    <xf numFmtId="0" fontId="4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right" indent="1"/>
    </xf>
    <xf numFmtId="168" fontId="2" fillId="0" borderId="107" xfId="0" applyNumberFormat="1" applyFont="1" applyBorder="1" applyAlignment="1">
      <alignment horizontal="right" indent="1"/>
    </xf>
    <xf numFmtId="168" fontId="1" fillId="0" borderId="105" xfId="0" applyNumberFormat="1" applyFont="1" applyBorder="1" applyAlignment="1">
      <alignment horizontal="right" indent="1"/>
    </xf>
    <xf numFmtId="168" fontId="34" fillId="0" borderId="12" xfId="0" applyNumberFormat="1" applyFont="1" applyBorder="1" applyAlignment="1">
      <alignment horizontal="right" indent="1"/>
    </xf>
    <xf numFmtId="168" fontId="34" fillId="0" borderId="107" xfId="0" applyNumberFormat="1" applyFont="1" applyBorder="1" applyAlignment="1">
      <alignment horizontal="right" indent="1"/>
    </xf>
    <xf numFmtId="0" fontId="7" fillId="0" borderId="0" xfId="0" applyFont="1" applyBorder="1" applyAlignment="1"/>
    <xf numFmtId="1" fontId="2" fillId="0" borderId="86" xfId="0" applyNumberFormat="1" applyFont="1" applyBorder="1" applyAlignment="1">
      <alignment horizontal="right" inden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8" fontId="34" fillId="0" borderId="93" xfId="0" applyNumberFormat="1" applyFont="1" applyBorder="1" applyAlignment="1">
      <alignment horizontal="right" indent="1"/>
    </xf>
    <xf numFmtId="0" fontId="31" fillId="0" borderId="111" xfId="0" applyFont="1" applyBorder="1"/>
    <xf numFmtId="0" fontId="31" fillId="0" borderId="111" xfId="0" applyFont="1" applyBorder="1" applyAlignment="1">
      <alignment horizontal="center"/>
    </xf>
    <xf numFmtId="0" fontId="7" fillId="0" borderId="111" xfId="0" applyFont="1" applyBorder="1"/>
    <xf numFmtId="0" fontId="31" fillId="0" borderId="111" xfId="0" applyFont="1" applyFill="1" applyBorder="1"/>
    <xf numFmtId="0" fontId="7" fillId="0" borderId="111" xfId="0" applyFont="1" applyFill="1" applyBorder="1"/>
    <xf numFmtId="0" fontId="2" fillId="0" borderId="101" xfId="0" applyFont="1" applyBorder="1" applyAlignment="1">
      <alignment horizontal="center" vertical="center" wrapText="1"/>
    </xf>
    <xf numFmtId="0" fontId="2" fillId="0" borderId="105" xfId="0" applyFont="1" applyBorder="1" applyAlignment="1">
      <alignment horizontal="center" vertical="center" wrapText="1"/>
    </xf>
    <xf numFmtId="0" fontId="2" fillId="0" borderId="100" xfId="0" applyFont="1" applyBorder="1" applyAlignment="1">
      <alignment wrapText="1"/>
    </xf>
    <xf numFmtId="0" fontId="1" fillId="0" borderId="14" xfId="0" applyFont="1" applyBorder="1" applyAlignment="1">
      <alignment horizontal="left" wrapText="1"/>
    </xf>
    <xf numFmtId="0" fontId="0" fillId="0" borderId="14" xfId="0" applyBorder="1" applyAlignment="1"/>
    <xf numFmtId="0" fontId="4" fillId="0" borderId="0" xfId="0" applyFont="1" applyAlignment="1">
      <alignment horizontal="center" vertical="center" wrapText="1"/>
    </xf>
    <xf numFmtId="0" fontId="0" fillId="0" borderId="0" xfId="0" applyAlignment="1"/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/>
    <xf numFmtId="0" fontId="2" fillId="33" borderId="5" xfId="0" applyFont="1" applyFill="1" applyBorder="1" applyAlignment="1">
      <alignment horizontal="center" vertical="center" wrapText="1"/>
    </xf>
    <xf numFmtId="0" fontId="2" fillId="33" borderId="6" xfId="0" applyFont="1" applyFill="1" applyBorder="1" applyAlignment="1">
      <alignment horizontal="center" vertical="center" wrapText="1"/>
    </xf>
    <xf numFmtId="0" fontId="2" fillId="33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0" fillId="0" borderId="11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  <xf numFmtId="0" fontId="7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6" xfId="0" applyFont="1" applyBorder="1" applyAlignment="1"/>
    <xf numFmtId="0" fontId="7" fillId="0" borderId="7" xfId="0" applyFont="1" applyBorder="1" applyAlignment="1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4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wrapText="1"/>
    </xf>
  </cellXfs>
  <cellStyles count="53">
    <cellStyle name="20% - Акцент1 2" xfId="3"/>
    <cellStyle name="20% - Акцент2 2" xfId="4"/>
    <cellStyle name="20% - Акцент3 2" xfId="5"/>
    <cellStyle name="20% - Акцент4 2" xfId="6"/>
    <cellStyle name="20% - Акцент5 2" xfId="7"/>
    <cellStyle name="20% - Акцент6 2" xfId="8"/>
    <cellStyle name="40% - Акцент1 2" xfId="9"/>
    <cellStyle name="40% - Акцент2 2" xfId="10"/>
    <cellStyle name="40% - Акцент3 2" xfId="11"/>
    <cellStyle name="40% - Акцент4 2" xfId="12"/>
    <cellStyle name="40% - Акцент5 2" xfId="13"/>
    <cellStyle name="40% - Акцент6 2" xfId="14"/>
    <cellStyle name="60% - Акцент1 2" xfId="15"/>
    <cellStyle name="60% - Акцент2 2" xfId="16"/>
    <cellStyle name="60% - Акцент3 2" xfId="17"/>
    <cellStyle name="60% - Акцент4 2" xfId="18"/>
    <cellStyle name="60% - Акцент5 2" xfId="19"/>
    <cellStyle name="60% - Акцент6 2" xfId="20"/>
    <cellStyle name="Comma" xfId="46"/>
    <cellStyle name="Comma [0]" xfId="47"/>
    <cellStyle name="Currency" xfId="30"/>
    <cellStyle name="Currency [0]" xfId="31"/>
    <cellStyle name="Normal" xfId="1"/>
    <cellStyle name="Normal 2" xfId="49"/>
    <cellStyle name="Percent" xfId="43"/>
    <cellStyle name="Акцент1 2" xfId="21"/>
    <cellStyle name="Акцент2 2" xfId="22"/>
    <cellStyle name="Акцент3 2" xfId="23"/>
    <cellStyle name="Акцент4 2" xfId="24"/>
    <cellStyle name="Акцент5 2" xfId="25"/>
    <cellStyle name="Акцент6 2" xfId="26"/>
    <cellStyle name="Ввод  2" xfId="27"/>
    <cellStyle name="Вывод 2" xfId="28"/>
    <cellStyle name="Вычисление 2" xfId="29"/>
    <cellStyle name="Заголовок 1 2" xfId="32"/>
    <cellStyle name="Заголовок 2 2" xfId="33"/>
    <cellStyle name="Заголовок 3 2" xfId="34"/>
    <cellStyle name="Заголовок 4 2" xfId="35"/>
    <cellStyle name="Итог 2" xfId="36"/>
    <cellStyle name="Контрольная ячейка 2" xfId="37"/>
    <cellStyle name="Название 2" xfId="38"/>
    <cellStyle name="Нейтральный 2" xfId="39"/>
    <cellStyle name="Обычный" xfId="0" builtinId="0"/>
    <cellStyle name="Обычный 2" xfId="2"/>
    <cellStyle name="Обычный 2 2" xfId="50"/>
    <cellStyle name="Обычный 2 3" xfId="51"/>
    <cellStyle name="Обычный 3" xfId="52"/>
    <cellStyle name="Плохой 2" xfId="40"/>
    <cellStyle name="Пояснение 2" xfId="41"/>
    <cellStyle name="Примечание 2" xfId="42"/>
    <cellStyle name="Связанная ячейка 2" xfId="44"/>
    <cellStyle name="Текст предупреждения 2" xfId="45"/>
    <cellStyle name="Хороший 2" xfId="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14767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40804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46538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9050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47205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zoomScale="129" zoomScaleNormal="129" workbookViewId="0">
      <selection sqref="A1:O1"/>
    </sheetView>
  </sheetViews>
  <sheetFormatPr defaultColWidth="9.140625" defaultRowHeight="11.25" x14ac:dyDescent="0.2"/>
  <cols>
    <col min="1" max="1" width="23.7109375" style="2" customWidth="1"/>
    <col min="2" max="15" width="9.7109375" style="2" customWidth="1"/>
    <col min="16" max="16" width="10" style="2" customWidth="1"/>
    <col min="17" max="17" width="13.85546875" style="2" customWidth="1"/>
    <col min="18" max="16384" width="9.140625" style="2"/>
  </cols>
  <sheetData>
    <row r="1" spans="1:17" ht="15" customHeight="1" x14ac:dyDescent="0.25">
      <c r="A1" s="500" t="s">
        <v>120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1"/>
      <c r="O1" s="501"/>
    </row>
    <row r="2" spans="1:17" ht="15" customHeight="1" x14ac:dyDescent="0.25">
      <c r="A2" s="502" t="s">
        <v>0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3"/>
      <c r="O2" s="503"/>
    </row>
    <row r="3" spans="1:17" s="26" customFormat="1" ht="15" customHeight="1" x14ac:dyDescent="0.2">
      <c r="A3" s="27"/>
      <c r="B3" s="29">
        <v>2000</v>
      </c>
      <c r="C3" s="30">
        <v>2005</v>
      </c>
      <c r="D3" s="30">
        <v>2010</v>
      </c>
      <c r="E3" s="30">
        <v>2011</v>
      </c>
      <c r="F3" s="30">
        <v>2012</v>
      </c>
      <c r="G3" s="31">
        <v>2013</v>
      </c>
      <c r="H3" s="30">
        <v>2014</v>
      </c>
      <c r="I3" s="31">
        <v>2015</v>
      </c>
      <c r="J3" s="28">
        <v>2016</v>
      </c>
      <c r="K3" s="30">
        <v>2017</v>
      </c>
      <c r="L3" s="30">
        <v>2018</v>
      </c>
      <c r="M3" s="30">
        <v>2019</v>
      </c>
      <c r="N3" s="30">
        <v>2020</v>
      </c>
      <c r="O3" s="30">
        <v>2021</v>
      </c>
    </row>
    <row r="4" spans="1:17" x14ac:dyDescent="0.2">
      <c r="A4" s="45" t="s">
        <v>1</v>
      </c>
      <c r="B4" s="46">
        <v>503836.8</v>
      </c>
      <c r="C4" s="46">
        <v>1754406.2</v>
      </c>
      <c r="D4" s="47">
        <v>4454156.0999999996</v>
      </c>
      <c r="E4" s="48">
        <v>5140309.9000000004</v>
      </c>
      <c r="F4" s="49">
        <v>5714109.2999999998</v>
      </c>
      <c r="G4" s="49">
        <v>6019464.7347999997</v>
      </c>
      <c r="H4" s="49">
        <v>6125191.2000000002</v>
      </c>
      <c r="I4" s="50">
        <v>7010355.727</v>
      </c>
      <c r="J4" s="49">
        <v>7213464.2460000003</v>
      </c>
      <c r="K4" s="51">
        <v>7579837.8710534843</v>
      </c>
      <c r="L4" s="51">
        <v>8470580.466</v>
      </c>
      <c r="M4" s="51">
        <v>9132153.1279803794</v>
      </c>
      <c r="N4" s="403">
        <v>9553098.6329893768</v>
      </c>
      <c r="O4" s="403">
        <v>10791602.718138281</v>
      </c>
      <c r="P4" s="13"/>
    </row>
    <row r="5" spans="1:17" ht="18.75" x14ac:dyDescent="0.2">
      <c r="A5" s="196" t="s">
        <v>136</v>
      </c>
      <c r="B5" s="46">
        <v>144969.20000000001</v>
      </c>
      <c r="C5" s="46">
        <v>517238.7</v>
      </c>
      <c r="D5" s="47">
        <v>1159676.1000000001</v>
      </c>
      <c r="E5" s="47">
        <v>1270451.8</v>
      </c>
      <c r="F5" s="52">
        <v>1417953.4</v>
      </c>
      <c r="G5" s="53">
        <v>1492522.7</v>
      </c>
      <c r="H5" s="53">
        <v>1593876.3</v>
      </c>
      <c r="I5" s="52">
        <v>1780675.503</v>
      </c>
      <c r="J5" s="53">
        <v>1842119.0490000001</v>
      </c>
      <c r="K5" s="54">
        <v>1984091.3076246548</v>
      </c>
      <c r="L5" s="54">
        <v>2157211.5989999999</v>
      </c>
      <c r="M5" s="403">
        <v>2356914.3539999998</v>
      </c>
      <c r="N5" s="403">
        <v>2624340.5630000001</v>
      </c>
      <c r="O5" s="403">
        <v>2892668.1044000001</v>
      </c>
      <c r="P5" s="13"/>
    </row>
    <row r="6" spans="1:17" x14ac:dyDescent="0.2">
      <c r="A6" s="203" t="s">
        <v>2</v>
      </c>
      <c r="B6" s="55">
        <v>4572.6000000000004</v>
      </c>
      <c r="C6" s="55">
        <v>14760.7</v>
      </c>
      <c r="D6" s="56">
        <v>41302.699999999997</v>
      </c>
      <c r="E6" s="56">
        <v>70808</v>
      </c>
      <c r="F6" s="57">
        <v>80017.7</v>
      </c>
      <c r="G6" s="58">
        <v>71282.388000000006</v>
      </c>
      <c r="H6" s="59">
        <v>63342.7</v>
      </c>
      <c r="I6" s="60">
        <v>76726.069000000003</v>
      </c>
      <c r="J6" s="59">
        <v>70984.847999999998</v>
      </c>
      <c r="K6" s="61">
        <v>88591.816093143701</v>
      </c>
      <c r="L6" s="61">
        <v>92638.305999999997</v>
      </c>
      <c r="M6" s="250">
        <v>118522.03599999998</v>
      </c>
      <c r="N6" s="250">
        <v>127115.12099999998</v>
      </c>
      <c r="O6" s="250">
        <v>114376.8609</v>
      </c>
      <c r="P6" s="13"/>
      <c r="Q6" s="4"/>
    </row>
    <row r="7" spans="1:17" x14ac:dyDescent="0.2">
      <c r="A7" s="247" t="s">
        <v>3</v>
      </c>
      <c r="B7" s="55">
        <v>2191.1</v>
      </c>
      <c r="C7" s="55">
        <v>4122.8999999999996</v>
      </c>
      <c r="D7" s="56">
        <v>13900.9</v>
      </c>
      <c r="E7" s="56">
        <v>16941.900000000001</v>
      </c>
      <c r="F7" s="62">
        <v>18018.5</v>
      </c>
      <c r="G7" s="58">
        <v>22496.739000000001</v>
      </c>
      <c r="H7" s="59">
        <v>23973.599999999999</v>
      </c>
      <c r="I7" s="60">
        <v>24983.781999999999</v>
      </c>
      <c r="J7" s="59">
        <v>27764.391</v>
      </c>
      <c r="K7" s="61">
        <v>28564.571411977442</v>
      </c>
      <c r="L7" s="61">
        <v>25316.516</v>
      </c>
      <c r="M7" s="250">
        <v>30334.971000000005</v>
      </c>
      <c r="N7" s="250">
        <v>40518.483</v>
      </c>
      <c r="O7" s="250">
        <v>52963.412100000009</v>
      </c>
      <c r="P7" s="13"/>
      <c r="Q7" s="4"/>
    </row>
    <row r="8" spans="1:17" x14ac:dyDescent="0.2">
      <c r="A8" s="203" t="s">
        <v>4</v>
      </c>
      <c r="B8" s="55">
        <v>2736.4</v>
      </c>
      <c r="C8" s="55">
        <v>6446.5</v>
      </c>
      <c r="D8" s="56">
        <v>21308.9</v>
      </c>
      <c r="E8" s="56">
        <v>23311.599999999999</v>
      </c>
      <c r="F8" s="57">
        <v>27075.8</v>
      </c>
      <c r="G8" s="58">
        <v>30211.5</v>
      </c>
      <c r="H8" s="63">
        <v>32305.5</v>
      </c>
      <c r="I8" s="64">
        <v>30576.194</v>
      </c>
      <c r="J8" s="65">
        <v>34277.68</v>
      </c>
      <c r="K8" s="61">
        <v>37927.042680581973</v>
      </c>
      <c r="L8" s="61">
        <v>40515.004000000001</v>
      </c>
      <c r="M8" s="250">
        <v>42923.932999999997</v>
      </c>
      <c r="N8" s="250">
        <v>46974.808000000005</v>
      </c>
      <c r="O8" s="250">
        <v>64155.544199999997</v>
      </c>
      <c r="P8" s="13"/>
    </row>
    <row r="9" spans="1:17" x14ac:dyDescent="0.2">
      <c r="A9" s="203" t="s">
        <v>5</v>
      </c>
      <c r="B9" s="66">
        <v>3627.7</v>
      </c>
      <c r="C9" s="66">
        <v>11125.2</v>
      </c>
      <c r="D9" s="67">
        <v>40755.1</v>
      </c>
      <c r="E9" s="67">
        <v>49766.9</v>
      </c>
      <c r="F9" s="68">
        <v>61988</v>
      </c>
      <c r="G9" s="58">
        <v>68720</v>
      </c>
      <c r="H9" s="63">
        <v>74643.199999999997</v>
      </c>
      <c r="I9" s="69">
        <v>107591.424</v>
      </c>
      <c r="J9" s="70">
        <v>100403.64599999999</v>
      </c>
      <c r="K9" s="61">
        <v>107531.14007828596</v>
      </c>
      <c r="L9" s="61">
        <v>128660.75</v>
      </c>
      <c r="M9" s="250">
        <v>136924.60999999999</v>
      </c>
      <c r="N9" s="250">
        <v>133017.826</v>
      </c>
      <c r="O9" s="250">
        <v>91363.523300000001</v>
      </c>
      <c r="P9" s="13"/>
    </row>
    <row r="10" spans="1:17" x14ac:dyDescent="0.2">
      <c r="A10" s="203" t="s">
        <v>6</v>
      </c>
      <c r="B10" s="66">
        <v>1282.0999999999999</v>
      </c>
      <c r="C10" s="66">
        <v>3620</v>
      </c>
      <c r="D10" s="67">
        <v>12800.8</v>
      </c>
      <c r="E10" s="67">
        <v>16221.5</v>
      </c>
      <c r="F10" s="68">
        <v>16234.7</v>
      </c>
      <c r="G10" s="58">
        <v>18578.79</v>
      </c>
      <c r="H10" s="70">
        <v>20923</v>
      </c>
      <c r="I10" s="69">
        <v>21859.106</v>
      </c>
      <c r="J10" s="70">
        <v>20848.696</v>
      </c>
      <c r="K10" s="61">
        <v>27843.498046753768</v>
      </c>
      <c r="L10" s="61">
        <v>31998.420999999998</v>
      </c>
      <c r="M10" s="250">
        <v>40053.673999999999</v>
      </c>
      <c r="N10" s="250">
        <v>39964.697999999997</v>
      </c>
      <c r="O10" s="250">
        <v>60203.759299999998</v>
      </c>
      <c r="P10" s="13"/>
    </row>
    <row r="11" spans="1:17" x14ac:dyDescent="0.2">
      <c r="A11" s="203" t="s">
        <v>7</v>
      </c>
      <c r="B11" s="71">
        <v>2556.5</v>
      </c>
      <c r="C11" s="71">
        <v>7622.6</v>
      </c>
      <c r="D11" s="72">
        <v>26812.400000000001</v>
      </c>
      <c r="E11" s="72">
        <v>33775.300000000003</v>
      </c>
      <c r="F11" s="73">
        <v>42733.8</v>
      </c>
      <c r="G11" s="58">
        <v>42436.341</v>
      </c>
      <c r="H11" s="63">
        <v>44969.3</v>
      </c>
      <c r="I11" s="74">
        <v>59762.983</v>
      </c>
      <c r="J11" s="75">
        <v>53878.887000000002</v>
      </c>
      <c r="K11" s="61">
        <v>66936.243836730122</v>
      </c>
      <c r="L11" s="61">
        <v>67997.41</v>
      </c>
      <c r="M11" s="250">
        <v>67111.998999999996</v>
      </c>
      <c r="N11" s="250">
        <v>74856.954999999987</v>
      </c>
      <c r="O11" s="250">
        <v>72851.480199999991</v>
      </c>
      <c r="P11" s="13"/>
    </row>
    <row r="12" spans="1:17" x14ac:dyDescent="0.2">
      <c r="A12" s="203" t="s">
        <v>8</v>
      </c>
      <c r="B12" s="71">
        <v>1758.5</v>
      </c>
      <c r="C12" s="71">
        <v>3916</v>
      </c>
      <c r="D12" s="72">
        <v>8960.5</v>
      </c>
      <c r="E12" s="72">
        <v>8045.9</v>
      </c>
      <c r="F12" s="73">
        <v>8485.2000000000007</v>
      </c>
      <c r="G12" s="58">
        <v>8307.4210000000003</v>
      </c>
      <c r="H12" s="75">
        <v>8663.1</v>
      </c>
      <c r="I12" s="74">
        <v>13498.748</v>
      </c>
      <c r="J12" s="75">
        <v>10949.745000000001</v>
      </c>
      <c r="K12" s="61">
        <v>9020.135581003593</v>
      </c>
      <c r="L12" s="61">
        <v>11780.177</v>
      </c>
      <c r="M12" s="250">
        <v>12591.933999999997</v>
      </c>
      <c r="N12" s="250">
        <v>16057.776</v>
      </c>
      <c r="O12" s="250">
        <v>16703.437700000002</v>
      </c>
      <c r="P12" s="13"/>
    </row>
    <row r="13" spans="1:17" x14ac:dyDescent="0.2">
      <c r="A13" s="203" t="s">
        <v>9</v>
      </c>
      <c r="B13" s="76">
        <v>2202.3000000000002</v>
      </c>
      <c r="C13" s="76">
        <v>7125.6</v>
      </c>
      <c r="D13" s="77">
        <v>23305.9</v>
      </c>
      <c r="E13" s="77">
        <v>29581.8</v>
      </c>
      <c r="F13" s="78">
        <v>33648.1</v>
      </c>
      <c r="G13" s="58">
        <v>36918.300000000003</v>
      </c>
      <c r="H13" s="63">
        <v>42060.5</v>
      </c>
      <c r="I13" s="79">
        <v>43495.923000000003</v>
      </c>
      <c r="J13" s="80">
        <v>44911.462</v>
      </c>
      <c r="K13" s="61">
        <v>50200.473673161076</v>
      </c>
      <c r="L13" s="61">
        <v>57125.95</v>
      </c>
      <c r="M13" s="250">
        <v>77081.02</v>
      </c>
      <c r="N13" s="250">
        <v>82453.039000000004</v>
      </c>
      <c r="O13" s="250">
        <v>115235.40280000001</v>
      </c>
      <c r="P13" s="13"/>
    </row>
    <row r="14" spans="1:17" x14ac:dyDescent="0.2">
      <c r="A14" s="203" t="s">
        <v>10</v>
      </c>
      <c r="B14" s="76">
        <v>2945.4</v>
      </c>
      <c r="C14" s="76">
        <v>12255.4</v>
      </c>
      <c r="D14" s="77">
        <v>25716.5</v>
      </c>
      <c r="E14" s="77">
        <v>28464.799999999999</v>
      </c>
      <c r="F14" s="78">
        <v>31372.2</v>
      </c>
      <c r="G14" s="58">
        <v>34266.81</v>
      </c>
      <c r="H14" s="80">
        <v>36690.400000000001</v>
      </c>
      <c r="I14" s="79">
        <v>40838.044999999998</v>
      </c>
      <c r="J14" s="80">
        <v>42387.857000000004</v>
      </c>
      <c r="K14" s="61">
        <v>48597.179264623082</v>
      </c>
      <c r="L14" s="61">
        <v>56015.196000000004</v>
      </c>
      <c r="M14" s="250">
        <v>67817.606</v>
      </c>
      <c r="N14" s="250">
        <v>77019.876999999993</v>
      </c>
      <c r="O14" s="250">
        <v>64904.362499999996</v>
      </c>
      <c r="P14" s="13"/>
    </row>
    <row r="15" spans="1:17" x14ac:dyDescent="0.2">
      <c r="A15" s="203" t="s">
        <v>11</v>
      </c>
      <c r="B15" s="81">
        <v>21675.1</v>
      </c>
      <c r="C15" s="81">
        <v>120237.3</v>
      </c>
      <c r="D15" s="82">
        <v>230771.3</v>
      </c>
      <c r="E15" s="82">
        <v>265066</v>
      </c>
      <c r="F15" s="83">
        <v>303071.59999999998</v>
      </c>
      <c r="G15" s="58">
        <v>289351.408</v>
      </c>
      <c r="H15" s="63">
        <v>314325.8</v>
      </c>
      <c r="I15" s="84">
        <v>320716.163</v>
      </c>
      <c r="J15" s="85">
        <v>328467.97200000001</v>
      </c>
      <c r="K15" s="61">
        <v>357555.04834090843</v>
      </c>
      <c r="L15" s="61">
        <v>469584.00799999997</v>
      </c>
      <c r="M15" s="250">
        <v>520116.576</v>
      </c>
      <c r="N15" s="250">
        <v>572893.77399999998</v>
      </c>
      <c r="O15" s="250">
        <v>534954.96219999995</v>
      </c>
      <c r="P15" s="13"/>
    </row>
    <row r="16" spans="1:17" x14ac:dyDescent="0.2">
      <c r="A16" s="203" t="s">
        <v>12</v>
      </c>
      <c r="B16" s="81">
        <v>2219.6999999999998</v>
      </c>
      <c r="C16" s="81">
        <v>4255.2</v>
      </c>
      <c r="D16" s="82">
        <v>7859.7</v>
      </c>
      <c r="E16" s="82">
        <v>9497.9</v>
      </c>
      <c r="F16" s="83">
        <v>14687</v>
      </c>
      <c r="G16" s="58">
        <v>15796.6</v>
      </c>
      <c r="H16" s="85">
        <v>16861.400000000001</v>
      </c>
      <c r="I16" s="84">
        <v>23677.409</v>
      </c>
      <c r="J16" s="85">
        <v>19544.066999999999</v>
      </c>
      <c r="K16" s="61">
        <v>21215.075875604303</v>
      </c>
      <c r="L16" s="61">
        <v>22747.384999999998</v>
      </c>
      <c r="M16" s="250">
        <v>27027.475999999999</v>
      </c>
      <c r="N16" s="250">
        <v>27571.580000000005</v>
      </c>
      <c r="O16" s="250">
        <v>23680.067100000004</v>
      </c>
      <c r="P16" s="13"/>
    </row>
    <row r="17" spans="1:16" x14ac:dyDescent="0.2">
      <c r="A17" s="203" t="s">
        <v>13</v>
      </c>
      <c r="B17" s="86">
        <v>2565.8000000000002</v>
      </c>
      <c r="C17" s="86">
        <v>12164.9</v>
      </c>
      <c r="D17" s="87">
        <v>25768.3</v>
      </c>
      <c r="E17" s="87">
        <v>31881.5</v>
      </c>
      <c r="F17" s="88">
        <v>36509.599999999999</v>
      </c>
      <c r="G17" s="58">
        <v>42200.2</v>
      </c>
      <c r="H17" s="63">
        <v>33091.199999999997</v>
      </c>
      <c r="I17" s="89">
        <v>43439.874000000003</v>
      </c>
      <c r="J17" s="90">
        <v>40195.739000000001</v>
      </c>
      <c r="K17" s="61">
        <v>45602.227292830139</v>
      </c>
      <c r="L17" s="61">
        <v>49224.85</v>
      </c>
      <c r="M17" s="250">
        <v>54701.750999999997</v>
      </c>
      <c r="N17" s="250">
        <v>50453.641000000003</v>
      </c>
      <c r="O17" s="250">
        <v>43443.764299999995</v>
      </c>
      <c r="P17" s="13"/>
    </row>
    <row r="18" spans="1:16" x14ac:dyDescent="0.2">
      <c r="A18" s="203" t="s">
        <v>14</v>
      </c>
      <c r="B18" s="86">
        <v>3655.2</v>
      </c>
      <c r="C18" s="86">
        <v>7214.4</v>
      </c>
      <c r="D18" s="87">
        <v>19341.400000000001</v>
      </c>
      <c r="E18" s="87">
        <v>25566.2</v>
      </c>
      <c r="F18" s="88">
        <v>26524.3</v>
      </c>
      <c r="G18" s="58">
        <v>25343.722000000002</v>
      </c>
      <c r="H18" s="90">
        <v>25761.8</v>
      </c>
      <c r="I18" s="89">
        <v>23570.11</v>
      </c>
      <c r="J18" s="90">
        <v>23923.624</v>
      </c>
      <c r="K18" s="61">
        <v>25175.552930444119</v>
      </c>
      <c r="L18" s="61">
        <v>24446.531999999999</v>
      </c>
      <c r="M18" s="250">
        <v>26401.894</v>
      </c>
      <c r="N18" s="250">
        <v>27229.623999999996</v>
      </c>
      <c r="O18" s="250">
        <v>29221.576000000001</v>
      </c>
      <c r="P18" s="13"/>
    </row>
    <row r="19" spans="1:16" x14ac:dyDescent="0.2">
      <c r="A19" s="203" t="s">
        <v>15</v>
      </c>
      <c r="B19" s="91">
        <v>1336.3</v>
      </c>
      <c r="C19" s="91">
        <v>6583.3</v>
      </c>
      <c r="D19" s="92">
        <v>17560.099999999999</v>
      </c>
      <c r="E19" s="92">
        <v>20470.3</v>
      </c>
      <c r="F19" s="93">
        <v>24209.599999999999</v>
      </c>
      <c r="G19" s="58">
        <v>27398.796999999999</v>
      </c>
      <c r="H19" s="63">
        <v>30552.400000000001</v>
      </c>
      <c r="I19" s="94">
        <v>33188.783000000003</v>
      </c>
      <c r="J19" s="95">
        <v>32733.167000000001</v>
      </c>
      <c r="K19" s="61">
        <v>33295.915590166049</v>
      </c>
      <c r="L19" s="61">
        <v>29865.535</v>
      </c>
      <c r="M19" s="250">
        <v>30797.878000000001</v>
      </c>
      <c r="N19" s="250">
        <v>32248.471000000001</v>
      </c>
      <c r="O19" s="250">
        <v>32230.624</v>
      </c>
      <c r="P19" s="13"/>
    </row>
    <row r="20" spans="1:16" x14ac:dyDescent="0.2">
      <c r="A20" s="203" t="s">
        <v>16</v>
      </c>
      <c r="B20" s="91">
        <v>2770.2</v>
      </c>
      <c r="C20" s="91">
        <v>13597.9</v>
      </c>
      <c r="D20" s="92">
        <v>27771.4</v>
      </c>
      <c r="E20" s="92">
        <v>32534.6</v>
      </c>
      <c r="F20" s="93">
        <v>19866.3</v>
      </c>
      <c r="G20" s="58">
        <v>16457.3</v>
      </c>
      <c r="H20" s="95">
        <v>18108.599999999999</v>
      </c>
      <c r="I20" s="94">
        <v>30067.937999999998</v>
      </c>
      <c r="J20" s="95">
        <v>26126.809000000001</v>
      </c>
      <c r="K20" s="61">
        <v>31217.740114319047</v>
      </c>
      <c r="L20" s="61">
        <v>24268.674999999999</v>
      </c>
      <c r="M20" s="250">
        <v>29032.493999999999</v>
      </c>
      <c r="N20" s="250">
        <v>37166.707999999999</v>
      </c>
      <c r="O20" s="250">
        <v>37014.8249</v>
      </c>
      <c r="P20" s="13"/>
    </row>
    <row r="21" spans="1:16" x14ac:dyDescent="0.2">
      <c r="A21" s="203" t="s">
        <v>17</v>
      </c>
      <c r="B21" s="96">
        <v>3536.4</v>
      </c>
      <c r="C21" s="96">
        <v>9851.5</v>
      </c>
      <c r="D21" s="97">
        <v>25041.599999999999</v>
      </c>
      <c r="E21" s="97">
        <v>19624.900000000001</v>
      </c>
      <c r="F21" s="98">
        <v>22284.9</v>
      </c>
      <c r="G21" s="58">
        <v>24984.496999999999</v>
      </c>
      <c r="H21" s="63">
        <v>26773.599999999999</v>
      </c>
      <c r="I21" s="99">
        <v>39502.249000000003</v>
      </c>
      <c r="J21" s="100">
        <v>41727.08</v>
      </c>
      <c r="K21" s="61">
        <v>42264.084774065093</v>
      </c>
      <c r="L21" s="61">
        <v>50147.319000000003</v>
      </c>
      <c r="M21" s="250">
        <v>82340.142000000007</v>
      </c>
      <c r="N21" s="250">
        <v>91350.311000000002</v>
      </c>
      <c r="O21" s="250">
        <v>106271.05410000001</v>
      </c>
      <c r="P21" s="13"/>
    </row>
    <row r="22" spans="1:16" x14ac:dyDescent="0.2">
      <c r="A22" s="203" t="s">
        <v>18</v>
      </c>
      <c r="B22" s="96">
        <v>3523.2</v>
      </c>
      <c r="C22" s="96">
        <v>20124</v>
      </c>
      <c r="D22" s="97">
        <v>36823.699999999997</v>
      </c>
      <c r="E22" s="97">
        <v>39816.9</v>
      </c>
      <c r="F22" s="98">
        <v>41496.800000000003</v>
      </c>
      <c r="G22" s="58">
        <v>43495.305999999997</v>
      </c>
      <c r="H22" s="100">
        <v>46132.7</v>
      </c>
      <c r="I22" s="99">
        <v>40965.449000000001</v>
      </c>
      <c r="J22" s="100">
        <v>46224.83</v>
      </c>
      <c r="K22" s="61">
        <v>51456.168476646562</v>
      </c>
      <c r="L22" s="61">
        <v>59309.807999999997</v>
      </c>
      <c r="M22" s="250">
        <v>41706.353000000003</v>
      </c>
      <c r="N22" s="250">
        <v>52632.764999999999</v>
      </c>
      <c r="O22" s="250">
        <v>75054.34580000001</v>
      </c>
      <c r="P22" s="13"/>
    </row>
    <row r="23" spans="1:16" x14ac:dyDescent="0.2">
      <c r="A23" s="203" t="s">
        <v>19</v>
      </c>
      <c r="B23" s="101">
        <v>79814.7</v>
      </c>
      <c r="C23" s="101">
        <v>252215.5</v>
      </c>
      <c r="D23" s="102">
        <v>553874.9</v>
      </c>
      <c r="E23" s="102">
        <v>549075.80000000005</v>
      </c>
      <c r="F23" s="103">
        <v>609729.30000000005</v>
      </c>
      <c r="G23" s="58">
        <v>674276.77599999995</v>
      </c>
      <c r="H23" s="63">
        <v>734697.6</v>
      </c>
      <c r="I23" s="104">
        <v>806215.25399999996</v>
      </c>
      <c r="J23" s="105">
        <v>876768.549</v>
      </c>
      <c r="K23" s="61">
        <v>911097.39356341027</v>
      </c>
      <c r="L23" s="61">
        <v>915569.75699999998</v>
      </c>
      <c r="M23" s="250">
        <v>951428.0070000001</v>
      </c>
      <c r="N23" s="250">
        <v>1094815.1059999999</v>
      </c>
      <c r="O23" s="250">
        <v>1358039.1029999999</v>
      </c>
      <c r="P23" s="13"/>
    </row>
    <row r="24" spans="1:16" ht="18.75" x14ac:dyDescent="0.2">
      <c r="A24" s="196" t="s">
        <v>137</v>
      </c>
      <c r="B24" s="106">
        <v>52281.2</v>
      </c>
      <c r="C24" s="106">
        <v>229684.3</v>
      </c>
      <c r="D24" s="107">
        <v>679920.5</v>
      </c>
      <c r="E24" s="108">
        <v>730884.9</v>
      </c>
      <c r="F24" s="108">
        <v>783443.9</v>
      </c>
      <c r="G24" s="109">
        <v>771037.2</v>
      </c>
      <c r="H24" s="110">
        <v>817509.7</v>
      </c>
      <c r="I24" s="111">
        <v>1048125.696</v>
      </c>
      <c r="J24" s="110">
        <v>1154849.081</v>
      </c>
      <c r="K24" s="112">
        <v>1067078.7429320235</v>
      </c>
      <c r="L24" s="112">
        <v>1198579.051</v>
      </c>
      <c r="M24" s="403">
        <v>1164599.8430000001</v>
      </c>
      <c r="N24" s="403">
        <v>1106746.345</v>
      </c>
      <c r="O24" s="403">
        <v>1192041.1305</v>
      </c>
      <c r="P24" s="13"/>
    </row>
    <row r="25" spans="1:16" x14ac:dyDescent="0.2">
      <c r="A25" s="203" t="s">
        <v>20</v>
      </c>
      <c r="B25" s="113">
        <v>2213.5</v>
      </c>
      <c r="C25" s="113">
        <v>4892.8</v>
      </c>
      <c r="D25" s="114">
        <v>12343</v>
      </c>
      <c r="E25" s="115">
        <v>10910.7</v>
      </c>
      <c r="F25" s="115">
        <v>12182.6</v>
      </c>
      <c r="G25" s="58">
        <v>16459.2</v>
      </c>
      <c r="H25" s="59">
        <v>14003.3</v>
      </c>
      <c r="I25" s="60">
        <v>19128.894</v>
      </c>
      <c r="J25" s="59">
        <v>16957.151000000002</v>
      </c>
      <c r="K25" s="61">
        <v>21720.47470236582</v>
      </c>
      <c r="L25" s="61">
        <v>31662.456999999999</v>
      </c>
      <c r="M25" s="250">
        <v>30041.046999999999</v>
      </c>
      <c r="N25" s="250">
        <v>24525.269</v>
      </c>
      <c r="O25" s="250">
        <v>24229.001199999999</v>
      </c>
      <c r="P25" s="13"/>
    </row>
    <row r="26" spans="1:16" x14ac:dyDescent="0.2">
      <c r="A26" s="203" t="s">
        <v>21</v>
      </c>
      <c r="B26" s="55">
        <v>4764</v>
      </c>
      <c r="C26" s="55">
        <v>22773.8</v>
      </c>
      <c r="D26" s="56">
        <v>56608.9</v>
      </c>
      <c r="E26" s="116">
        <v>67662</v>
      </c>
      <c r="F26" s="116">
        <v>104123</v>
      </c>
      <c r="G26" s="58">
        <v>92221.8</v>
      </c>
      <c r="H26" s="117">
        <v>81184</v>
      </c>
      <c r="I26" s="118">
        <v>77330.442999999999</v>
      </c>
      <c r="J26" s="117">
        <v>105320.826</v>
      </c>
      <c r="K26" s="61">
        <v>45160.657965782433</v>
      </c>
      <c r="L26" s="61">
        <v>47645.959000000003</v>
      </c>
      <c r="M26" s="250">
        <v>44864.695000000007</v>
      </c>
      <c r="N26" s="250">
        <v>48027.582000000002</v>
      </c>
      <c r="O26" s="250">
        <v>47585.226600000002</v>
      </c>
      <c r="P26" s="13"/>
    </row>
    <row r="27" spans="1:16" x14ac:dyDescent="0.2">
      <c r="A27" s="203" t="s">
        <v>22</v>
      </c>
      <c r="B27" s="55">
        <v>3895.1</v>
      </c>
      <c r="C27" s="55">
        <v>23218.400000000001</v>
      </c>
      <c r="D27" s="56">
        <v>32936.5</v>
      </c>
      <c r="E27" s="116">
        <v>39207.5</v>
      </c>
      <c r="F27" s="116">
        <v>35476.1</v>
      </c>
      <c r="G27" s="58">
        <v>52319.891000000003</v>
      </c>
      <c r="H27" s="117">
        <v>39997.599999999999</v>
      </c>
      <c r="I27" s="118">
        <v>45903.796999999999</v>
      </c>
      <c r="J27" s="117">
        <v>56707.303999999996</v>
      </c>
      <c r="K27" s="61">
        <v>71549.197707349362</v>
      </c>
      <c r="L27" s="61">
        <v>95862.171000000002</v>
      </c>
      <c r="M27" s="250">
        <v>84314.165999999997</v>
      </c>
      <c r="N27" s="250">
        <v>71182.210000000006</v>
      </c>
      <c r="O27" s="250">
        <v>107738.63749999998</v>
      </c>
      <c r="P27" s="13"/>
    </row>
    <row r="28" spans="1:16" x14ac:dyDescent="0.2">
      <c r="A28" s="119" t="s">
        <v>58</v>
      </c>
      <c r="B28" s="55"/>
      <c r="C28" s="55"/>
      <c r="D28" s="56"/>
      <c r="E28" s="116"/>
      <c r="F28" s="117"/>
      <c r="G28" s="58"/>
      <c r="H28" s="117"/>
      <c r="I28" s="118"/>
      <c r="J28" s="120"/>
      <c r="K28" s="120"/>
      <c r="N28" s="404"/>
      <c r="O28" s="250"/>
      <c r="P28" s="13"/>
    </row>
    <row r="29" spans="1:16" x14ac:dyDescent="0.2">
      <c r="A29" s="121" t="s">
        <v>92</v>
      </c>
      <c r="B29" s="55">
        <v>588.9</v>
      </c>
      <c r="C29" s="55">
        <v>8893.5</v>
      </c>
      <c r="D29" s="56">
        <v>11264.8</v>
      </c>
      <c r="E29" s="116">
        <v>11883.5</v>
      </c>
      <c r="F29" s="116">
        <v>6285.3</v>
      </c>
      <c r="G29" s="58">
        <v>8392.9</v>
      </c>
      <c r="H29" s="122">
        <v>8574.2999999999993</v>
      </c>
      <c r="I29" s="118">
        <v>9962.0849999999991</v>
      </c>
      <c r="J29" s="117">
        <v>8720.1890000000003</v>
      </c>
      <c r="K29" s="61">
        <v>12207.71997927942</v>
      </c>
      <c r="L29" s="61">
        <v>40650.262999999999</v>
      </c>
      <c r="M29" s="250">
        <v>25996.494000000002</v>
      </c>
      <c r="N29" s="250">
        <v>20479.505999450936</v>
      </c>
      <c r="O29" s="250">
        <v>19834.140299999999</v>
      </c>
      <c r="P29" s="13"/>
    </row>
    <row r="30" spans="1:16" ht="19.5" x14ac:dyDescent="0.2">
      <c r="A30" s="121" t="s">
        <v>84</v>
      </c>
      <c r="B30" s="55">
        <f>B27-B29</f>
        <v>3306.2</v>
      </c>
      <c r="C30" s="55">
        <f t="shared" ref="C30:D30" si="0">C27-C29</f>
        <v>14324.900000000001</v>
      </c>
      <c r="D30" s="56">
        <f t="shared" si="0"/>
        <v>21671.7</v>
      </c>
      <c r="E30" s="116">
        <v>27324</v>
      </c>
      <c r="F30" s="116">
        <v>29190.799999999999</v>
      </c>
      <c r="G30" s="58">
        <v>43927</v>
      </c>
      <c r="H30" s="122">
        <v>31423.3</v>
      </c>
      <c r="I30" s="118">
        <v>35941.712</v>
      </c>
      <c r="J30" s="117">
        <v>47987.114999999998</v>
      </c>
      <c r="K30" s="61">
        <v>59341.477728069949</v>
      </c>
      <c r="L30" s="61">
        <v>55211.908000000003</v>
      </c>
      <c r="M30" s="250">
        <v>58317.671999999999</v>
      </c>
      <c r="N30" s="250">
        <v>50702.704000000005</v>
      </c>
      <c r="O30" s="250">
        <v>87904.497199999983</v>
      </c>
      <c r="P30" s="13"/>
    </row>
    <row r="31" spans="1:16" x14ac:dyDescent="0.2">
      <c r="A31" s="203" t="s">
        <v>23</v>
      </c>
      <c r="B31" s="55">
        <v>3965.1</v>
      </c>
      <c r="C31" s="55">
        <v>20027.2</v>
      </c>
      <c r="D31" s="56">
        <v>36395.300000000003</v>
      </c>
      <c r="E31" s="116">
        <v>59683.7</v>
      </c>
      <c r="F31" s="116">
        <v>60476</v>
      </c>
      <c r="G31" s="58">
        <v>48862.7</v>
      </c>
      <c r="H31" s="122">
        <v>41429.5</v>
      </c>
      <c r="I31" s="118">
        <v>55677.408000000003</v>
      </c>
      <c r="J31" s="117">
        <v>65769.22</v>
      </c>
      <c r="K31" s="61">
        <v>91882.667709198868</v>
      </c>
      <c r="L31" s="61">
        <v>103048.71400000001</v>
      </c>
      <c r="M31" s="250">
        <v>108657.06299999999</v>
      </c>
      <c r="N31" s="250">
        <v>115156.47900000001</v>
      </c>
      <c r="O31" s="250">
        <v>127656.63489999998</v>
      </c>
      <c r="P31" s="13"/>
    </row>
    <row r="32" spans="1:16" x14ac:dyDescent="0.2">
      <c r="A32" s="203" t="s">
        <v>24</v>
      </c>
      <c r="B32" s="55">
        <v>1694.2</v>
      </c>
      <c r="C32" s="55">
        <v>9582.2999999999993</v>
      </c>
      <c r="D32" s="56">
        <v>26470.9</v>
      </c>
      <c r="E32" s="116">
        <v>33681.599999999999</v>
      </c>
      <c r="F32" s="116">
        <v>30994.3</v>
      </c>
      <c r="G32" s="58">
        <v>34604.300000000003</v>
      </c>
      <c r="H32" s="122">
        <v>42045.3</v>
      </c>
      <c r="I32" s="118">
        <v>59929.694000000003</v>
      </c>
      <c r="J32" s="117">
        <v>72170.635999999999</v>
      </c>
      <c r="K32" s="61">
        <v>98824.835614106327</v>
      </c>
      <c r="L32" s="61">
        <v>105781.645</v>
      </c>
      <c r="M32" s="250">
        <v>71888.459000000003</v>
      </c>
      <c r="N32" s="250">
        <v>82119.623999999996</v>
      </c>
      <c r="O32" s="250">
        <v>46820.931099999994</v>
      </c>
      <c r="P32" s="13"/>
    </row>
    <row r="33" spans="1:16" x14ac:dyDescent="0.2">
      <c r="A33" s="203" t="s">
        <v>25</v>
      </c>
      <c r="B33" s="55">
        <v>7256.8</v>
      </c>
      <c r="C33" s="55">
        <v>27258.2</v>
      </c>
      <c r="D33" s="56">
        <v>89104.6</v>
      </c>
      <c r="E33" s="116">
        <v>102960.4</v>
      </c>
      <c r="F33" s="116">
        <v>114638.5</v>
      </c>
      <c r="G33" s="58">
        <v>90300.2</v>
      </c>
      <c r="H33" s="122">
        <v>101123.1</v>
      </c>
      <c r="I33" s="118">
        <v>104491.541</v>
      </c>
      <c r="J33" s="117">
        <v>98149.98</v>
      </c>
      <c r="K33" s="61">
        <v>112532.39350120303</v>
      </c>
      <c r="L33" s="61">
        <v>159227.23699999999</v>
      </c>
      <c r="M33" s="250">
        <v>250991.978</v>
      </c>
      <c r="N33" s="250">
        <v>206423.62100000004</v>
      </c>
      <c r="O33" s="250">
        <v>227411.10430000001</v>
      </c>
      <c r="P33" s="13"/>
    </row>
    <row r="34" spans="1:16" x14ac:dyDescent="0.2">
      <c r="A34" s="203" t="s">
        <v>26</v>
      </c>
      <c r="B34" s="55">
        <v>2860.9</v>
      </c>
      <c r="C34" s="55">
        <v>9483.9</v>
      </c>
      <c r="D34" s="56">
        <v>18356.900000000001</v>
      </c>
      <c r="E34" s="116">
        <v>21409.200000000001</v>
      </c>
      <c r="F34" s="116">
        <v>22255.200000000001</v>
      </c>
      <c r="G34" s="58">
        <v>22762.6</v>
      </c>
      <c r="H34" s="122">
        <v>28553.5</v>
      </c>
      <c r="I34" s="118">
        <v>34009.031000000003</v>
      </c>
      <c r="J34" s="117">
        <v>34379.239000000001</v>
      </c>
      <c r="K34" s="61">
        <v>45332.975394838351</v>
      </c>
      <c r="L34" s="61">
        <v>37883.21</v>
      </c>
      <c r="M34" s="250">
        <v>60734.411999999997</v>
      </c>
      <c r="N34" s="250">
        <v>77052.615000000005</v>
      </c>
      <c r="O34" s="250">
        <v>96451.766700000007</v>
      </c>
      <c r="P34" s="13"/>
    </row>
    <row r="35" spans="1:16" x14ac:dyDescent="0.2">
      <c r="A35" s="203" t="s">
        <v>27</v>
      </c>
      <c r="B35" s="55">
        <v>2064.6999999999998</v>
      </c>
      <c r="C35" s="55">
        <v>6515.3</v>
      </c>
      <c r="D35" s="56">
        <v>17501.3</v>
      </c>
      <c r="E35" s="116">
        <v>17941.7</v>
      </c>
      <c r="F35" s="116">
        <v>21458.2</v>
      </c>
      <c r="G35" s="58">
        <v>26101.8</v>
      </c>
      <c r="H35" s="122">
        <v>34782.9</v>
      </c>
      <c r="I35" s="118">
        <v>41877.686000000002</v>
      </c>
      <c r="J35" s="117">
        <v>58217.463000000003</v>
      </c>
      <c r="K35" s="61">
        <v>37323.982085756528</v>
      </c>
      <c r="L35" s="61">
        <v>25952.076000000001</v>
      </c>
      <c r="M35" s="250">
        <v>15048.915000000001</v>
      </c>
      <c r="N35" s="250">
        <v>18572.2</v>
      </c>
      <c r="O35" s="250">
        <v>21258.3583</v>
      </c>
      <c r="P35" s="13"/>
    </row>
    <row r="36" spans="1:16" x14ac:dyDescent="0.2">
      <c r="A36" s="203" t="s">
        <v>28</v>
      </c>
      <c r="B36" s="55">
        <v>1583.2</v>
      </c>
      <c r="C36" s="55">
        <v>3915.2</v>
      </c>
      <c r="D36" s="56">
        <v>9192.7000000000007</v>
      </c>
      <c r="E36" s="116">
        <v>9912.6</v>
      </c>
      <c r="F36" s="116">
        <v>9968</v>
      </c>
      <c r="G36" s="58">
        <v>11601.3</v>
      </c>
      <c r="H36" s="122">
        <v>12705.5</v>
      </c>
      <c r="I36" s="118">
        <v>17435.723000000002</v>
      </c>
      <c r="J36" s="117">
        <v>21101.263999999999</v>
      </c>
      <c r="K36" s="61">
        <v>25274.36685554259</v>
      </c>
      <c r="L36" s="61">
        <v>26727.945</v>
      </c>
      <c r="M36" s="250">
        <v>28787.592000000001</v>
      </c>
      <c r="N36" s="250">
        <v>24760.293000000001</v>
      </c>
      <c r="O36" s="250">
        <v>26059.363000000001</v>
      </c>
      <c r="P36" s="13"/>
    </row>
    <row r="37" spans="1:16" x14ac:dyDescent="0.2">
      <c r="A37" s="203" t="s">
        <v>29</v>
      </c>
      <c r="B37" s="55">
        <v>21983.7</v>
      </c>
      <c r="C37" s="55">
        <v>102017.1</v>
      </c>
      <c r="D37" s="56">
        <v>381010.3</v>
      </c>
      <c r="E37" s="116">
        <v>367515.4</v>
      </c>
      <c r="F37" s="116">
        <v>371872</v>
      </c>
      <c r="G37" s="58">
        <v>375803.6</v>
      </c>
      <c r="H37" s="122">
        <v>421685.1</v>
      </c>
      <c r="I37" s="58">
        <v>592341.47900000005</v>
      </c>
      <c r="J37" s="117">
        <v>626075.99800000002</v>
      </c>
      <c r="K37" s="61">
        <v>517477.19139588019</v>
      </c>
      <c r="L37" s="61">
        <v>564787.63699999999</v>
      </c>
      <c r="M37" s="250">
        <v>469271.516</v>
      </c>
      <c r="N37" s="250">
        <v>438926.45200000005</v>
      </c>
      <c r="O37" s="250">
        <v>466830.10689999996</v>
      </c>
      <c r="P37" s="13"/>
    </row>
    <row r="38" spans="1:16" ht="18.75" x14ac:dyDescent="0.2">
      <c r="A38" s="196" t="s">
        <v>101</v>
      </c>
      <c r="B38" s="46">
        <v>43542.6</v>
      </c>
      <c r="C38" s="46">
        <v>123158</v>
      </c>
      <c r="D38" s="47">
        <v>449688.2</v>
      </c>
      <c r="E38" s="123">
        <v>561058.9</v>
      </c>
      <c r="F38" s="123">
        <v>628863</v>
      </c>
      <c r="G38" s="109">
        <v>731522.8</v>
      </c>
      <c r="H38" s="124">
        <v>587574.9</v>
      </c>
      <c r="I38" s="125">
        <v>598496.41</v>
      </c>
      <c r="J38" s="124">
        <v>563542.83799999999</v>
      </c>
      <c r="K38" s="112">
        <v>688675.62476276886</v>
      </c>
      <c r="L38" s="112">
        <v>757941.48100000003</v>
      </c>
      <c r="M38" s="403">
        <v>734512.75899999985</v>
      </c>
      <c r="N38" s="403">
        <v>732966.98399119137</v>
      </c>
      <c r="O38" s="403">
        <v>851927.52937027998</v>
      </c>
      <c r="P38" s="13"/>
    </row>
    <row r="39" spans="1:16" x14ac:dyDescent="0.2">
      <c r="A39" s="203" t="s">
        <v>30</v>
      </c>
      <c r="B39" s="55">
        <v>667.2</v>
      </c>
      <c r="C39" s="55">
        <v>1584.4</v>
      </c>
      <c r="D39" s="56">
        <v>7762.4</v>
      </c>
      <c r="E39" s="116">
        <v>9248.4</v>
      </c>
      <c r="F39" s="116">
        <v>9864.2000000000007</v>
      </c>
      <c r="G39" s="58">
        <v>9651.6</v>
      </c>
      <c r="H39" s="117">
        <v>10280.1</v>
      </c>
      <c r="I39" s="118">
        <v>11545.829</v>
      </c>
      <c r="J39" s="117">
        <v>12867.982</v>
      </c>
      <c r="K39" s="61">
        <v>12704.381958099517</v>
      </c>
      <c r="L39" s="61">
        <v>19453.973999999998</v>
      </c>
      <c r="M39" s="250">
        <v>25473.070000000003</v>
      </c>
      <c r="N39" s="250">
        <v>21988.399000000001</v>
      </c>
      <c r="O39" s="250">
        <v>26996.773099999999</v>
      </c>
      <c r="P39" s="13"/>
    </row>
    <row r="40" spans="1:16" x14ac:dyDescent="0.2">
      <c r="A40" s="203" t="s">
        <v>31</v>
      </c>
      <c r="B40" s="55">
        <v>618.5</v>
      </c>
      <c r="C40" s="55">
        <v>1912.1</v>
      </c>
      <c r="D40" s="56">
        <v>2937.8</v>
      </c>
      <c r="E40" s="116">
        <v>2891.6</v>
      </c>
      <c r="F40" s="116">
        <v>3604.1</v>
      </c>
      <c r="G40" s="58">
        <v>3862.8</v>
      </c>
      <c r="H40" s="117">
        <v>8124</v>
      </c>
      <c r="I40" s="118">
        <v>3525.6460000000002</v>
      </c>
      <c r="J40" s="117">
        <v>1320.8209999999999</v>
      </c>
      <c r="K40" s="61">
        <v>2945.5378082622406</v>
      </c>
      <c r="L40" s="61">
        <v>6495.0919999999996</v>
      </c>
      <c r="M40" s="250">
        <v>7418.1989999999996</v>
      </c>
      <c r="N40" s="250">
        <v>8748.2629911914446</v>
      </c>
      <c r="O40" s="250">
        <v>4131.5963999999994</v>
      </c>
      <c r="P40" s="13"/>
    </row>
    <row r="41" spans="1:16" x14ac:dyDescent="0.2">
      <c r="A41" s="203" t="s">
        <v>116</v>
      </c>
      <c r="B41" s="55"/>
      <c r="C41" s="59"/>
      <c r="D41" s="60"/>
      <c r="E41" s="59"/>
      <c r="F41" s="59"/>
      <c r="G41" s="58"/>
      <c r="H41" s="126">
        <v>3208.7</v>
      </c>
      <c r="I41" s="60">
        <v>3351.1880000000001</v>
      </c>
      <c r="J41" s="59">
        <v>16019.58</v>
      </c>
      <c r="K41" s="61">
        <v>51085.767478138077</v>
      </c>
      <c r="L41" s="61">
        <v>151953.82699999999</v>
      </c>
      <c r="M41" s="250">
        <v>138846.633</v>
      </c>
      <c r="N41" s="250">
        <v>142865.886</v>
      </c>
      <c r="O41" s="250">
        <v>106298.8275</v>
      </c>
      <c r="P41" s="13"/>
    </row>
    <row r="42" spans="1:16" x14ac:dyDescent="0.2">
      <c r="A42" s="203" t="s">
        <v>32</v>
      </c>
      <c r="B42" s="55">
        <v>22114.2</v>
      </c>
      <c r="C42" s="55">
        <v>57818.6</v>
      </c>
      <c r="D42" s="56">
        <v>299575.2</v>
      </c>
      <c r="E42" s="116">
        <v>399396.9</v>
      </c>
      <c r="F42" s="116">
        <v>442396.7</v>
      </c>
      <c r="G42" s="58">
        <v>480663.6</v>
      </c>
      <c r="H42" s="117">
        <v>316186.5</v>
      </c>
      <c r="I42" s="118">
        <v>275549.76400000002</v>
      </c>
      <c r="J42" s="117">
        <v>252093.37</v>
      </c>
      <c r="K42" s="61">
        <v>308669.28048563434</v>
      </c>
      <c r="L42" s="61">
        <v>311056.05800000002</v>
      </c>
      <c r="M42" s="250">
        <v>280753.71799999994</v>
      </c>
      <c r="N42" s="250">
        <v>274445.57199999999</v>
      </c>
      <c r="O42" s="250">
        <v>323548.15129999997</v>
      </c>
      <c r="P42" s="13"/>
    </row>
    <row r="43" spans="1:16" x14ac:dyDescent="0.2">
      <c r="A43" s="203" t="s">
        <v>33</v>
      </c>
      <c r="B43" s="55">
        <v>3925.9</v>
      </c>
      <c r="C43" s="55">
        <v>8689.2999999999993</v>
      </c>
      <c r="D43" s="56">
        <v>17436.400000000001</v>
      </c>
      <c r="E43" s="116">
        <v>18221.099999999999</v>
      </c>
      <c r="F43" s="116">
        <v>21263.1</v>
      </c>
      <c r="G43" s="58">
        <v>52284.9</v>
      </c>
      <c r="H43" s="117">
        <v>42049.3</v>
      </c>
      <c r="I43" s="118">
        <v>36309.055</v>
      </c>
      <c r="J43" s="117">
        <v>26473.621999999999</v>
      </c>
      <c r="K43" s="61">
        <v>39579.175999999999</v>
      </c>
      <c r="L43" s="61">
        <v>40964.019999999997</v>
      </c>
      <c r="M43" s="250">
        <v>40399.483</v>
      </c>
      <c r="N43" s="250">
        <v>41349.990000000005</v>
      </c>
      <c r="O43" s="250">
        <v>63805.194170280003</v>
      </c>
      <c r="P43" s="13"/>
    </row>
    <row r="44" spans="1:16" x14ac:dyDescent="0.2">
      <c r="A44" s="203" t="s">
        <v>34</v>
      </c>
      <c r="B44" s="55">
        <v>7142.3</v>
      </c>
      <c r="C44" s="55">
        <v>20690</v>
      </c>
      <c r="D44" s="56">
        <v>45481.9</v>
      </c>
      <c r="E44" s="116">
        <v>47914.8</v>
      </c>
      <c r="F44" s="116">
        <v>54785.8</v>
      </c>
      <c r="G44" s="58">
        <v>58597.5</v>
      </c>
      <c r="H44" s="117">
        <v>62336.1</v>
      </c>
      <c r="I44" s="118">
        <v>86190.072</v>
      </c>
      <c r="J44" s="117">
        <v>77005.744000000006</v>
      </c>
      <c r="K44" s="61">
        <v>91870.857070883125</v>
      </c>
      <c r="L44" s="61">
        <v>77636.679999999993</v>
      </c>
      <c r="M44" s="250">
        <v>79020.585000000006</v>
      </c>
      <c r="N44" s="250">
        <v>80261.347999999998</v>
      </c>
      <c r="O44" s="250">
        <v>84053.579799999992</v>
      </c>
      <c r="P44" s="13"/>
    </row>
    <row r="45" spans="1:16" x14ac:dyDescent="0.2">
      <c r="A45" s="203" t="s">
        <v>35</v>
      </c>
      <c r="B45" s="55">
        <v>9074.5</v>
      </c>
      <c r="C45" s="55">
        <v>32463.599999999999</v>
      </c>
      <c r="D45" s="56">
        <v>76494.600000000006</v>
      </c>
      <c r="E45" s="116">
        <v>83386</v>
      </c>
      <c r="F45" s="116">
        <v>96949</v>
      </c>
      <c r="G45" s="58">
        <v>126462.5</v>
      </c>
      <c r="H45" s="117">
        <v>143234.29999999999</v>
      </c>
      <c r="I45" s="118">
        <v>172545.57199999999</v>
      </c>
      <c r="J45" s="117">
        <v>159300.60800000001</v>
      </c>
      <c r="K45" s="61">
        <v>171252.59215133879</v>
      </c>
      <c r="L45" s="61">
        <v>133262.329</v>
      </c>
      <c r="M45" s="250">
        <v>143940.48000000001</v>
      </c>
      <c r="N45" s="250">
        <v>147324.008</v>
      </c>
      <c r="O45" s="250">
        <v>222235.55900000001</v>
      </c>
      <c r="P45" s="13"/>
    </row>
    <row r="46" spans="1:16" x14ac:dyDescent="0.2">
      <c r="A46" s="203" t="s">
        <v>117</v>
      </c>
      <c r="B46" s="117"/>
      <c r="C46" s="58"/>
      <c r="D46" s="118"/>
      <c r="E46" s="117"/>
      <c r="F46" s="117"/>
      <c r="G46" s="58"/>
      <c r="H46" s="122">
        <v>2155.9</v>
      </c>
      <c r="I46" s="58">
        <v>9479.2839999999997</v>
      </c>
      <c r="J46" s="117">
        <v>18461.111000000001</v>
      </c>
      <c r="K46" s="61">
        <v>10568.03181041272</v>
      </c>
      <c r="L46" s="61">
        <v>17119.501</v>
      </c>
      <c r="M46" s="250">
        <v>18660.591</v>
      </c>
      <c r="N46" s="250">
        <v>15983.518</v>
      </c>
      <c r="O46" s="250">
        <v>20857.848099999999</v>
      </c>
      <c r="P46" s="13"/>
    </row>
    <row r="47" spans="1:16" ht="18.75" x14ac:dyDescent="0.2">
      <c r="A47" s="196" t="s">
        <v>138</v>
      </c>
      <c r="B47" s="46">
        <v>13849.6</v>
      </c>
      <c r="C47" s="46">
        <v>43246.2</v>
      </c>
      <c r="D47" s="47">
        <v>138691.4</v>
      </c>
      <c r="E47" s="123">
        <v>163050.9</v>
      </c>
      <c r="F47" s="123">
        <v>184238.6</v>
      </c>
      <c r="G47" s="109">
        <v>198927</v>
      </c>
      <c r="H47" s="124">
        <v>249116.2</v>
      </c>
      <c r="I47" s="125">
        <v>268787.103</v>
      </c>
      <c r="J47" s="124">
        <v>272664.39899999998</v>
      </c>
      <c r="K47" s="112">
        <v>310232.12492385501</v>
      </c>
      <c r="L47" s="112">
        <v>339653.495</v>
      </c>
      <c r="M47" s="403">
        <v>417844.93400000001</v>
      </c>
      <c r="N47" s="403">
        <v>429426.97200000001</v>
      </c>
      <c r="O47" s="403">
        <v>462195.05816800002</v>
      </c>
      <c r="P47" s="13"/>
    </row>
    <row r="48" spans="1:16" x14ac:dyDescent="0.2">
      <c r="A48" s="203" t="s">
        <v>36</v>
      </c>
      <c r="B48" s="55">
        <v>2276.3000000000002</v>
      </c>
      <c r="C48" s="55">
        <v>14079.7</v>
      </c>
      <c r="D48" s="56">
        <v>60223.5</v>
      </c>
      <c r="E48" s="116">
        <v>68358.3</v>
      </c>
      <c r="F48" s="116">
        <v>75717.3</v>
      </c>
      <c r="G48" s="58">
        <v>88405.3</v>
      </c>
      <c r="H48" s="117">
        <v>105998.696</v>
      </c>
      <c r="I48" s="118">
        <v>123920.999</v>
      </c>
      <c r="J48" s="117">
        <v>133440.41500000001</v>
      </c>
      <c r="K48" s="61">
        <v>153083.01605128319</v>
      </c>
      <c r="L48" s="61">
        <v>135068.304</v>
      </c>
      <c r="M48" s="250">
        <v>170615.7</v>
      </c>
      <c r="N48" s="250">
        <v>180977.79800000001</v>
      </c>
      <c r="O48" s="250">
        <v>189606.83300000001</v>
      </c>
      <c r="P48" s="13"/>
    </row>
    <row r="49" spans="1:16" x14ac:dyDescent="0.2">
      <c r="A49" s="203" t="s">
        <v>37</v>
      </c>
      <c r="B49" s="55">
        <v>361.4</v>
      </c>
      <c r="C49" s="55">
        <v>1957.6</v>
      </c>
      <c r="D49" s="56">
        <v>3253.7</v>
      </c>
      <c r="E49" s="116">
        <v>1908.9</v>
      </c>
      <c r="F49" s="116">
        <v>4317.5</v>
      </c>
      <c r="G49" s="58">
        <v>9297.1</v>
      </c>
      <c r="H49" s="117">
        <v>10647.209500000001</v>
      </c>
      <c r="I49" s="118">
        <v>7953.9409999999998</v>
      </c>
      <c r="J49" s="117">
        <v>8209.6710000000003</v>
      </c>
      <c r="K49" s="61">
        <v>6229.0701410131087</v>
      </c>
      <c r="L49" s="61">
        <v>13914.326999999999</v>
      </c>
      <c r="M49" s="250">
        <v>16175.7</v>
      </c>
      <c r="N49" s="250">
        <v>11436.117</v>
      </c>
      <c r="O49" s="250">
        <v>12080.291999999999</v>
      </c>
      <c r="P49" s="13"/>
    </row>
    <row r="50" spans="1:16" ht="19.5" x14ac:dyDescent="0.2">
      <c r="A50" s="203" t="s">
        <v>81</v>
      </c>
      <c r="B50" s="55">
        <v>1440</v>
      </c>
      <c r="C50" s="55">
        <v>3910.4</v>
      </c>
      <c r="D50" s="56">
        <v>4431.2</v>
      </c>
      <c r="E50" s="116">
        <v>5707.7</v>
      </c>
      <c r="F50" s="116">
        <v>6734.4</v>
      </c>
      <c r="G50" s="58">
        <v>7937.2</v>
      </c>
      <c r="H50" s="117">
        <v>9519.3250000000007</v>
      </c>
      <c r="I50" s="118">
        <v>13460.049000000001</v>
      </c>
      <c r="J50" s="117">
        <v>14881.078</v>
      </c>
      <c r="K50" s="61">
        <v>15384.941136514164</v>
      </c>
      <c r="L50" s="61">
        <v>18337.633000000002</v>
      </c>
      <c r="M50" s="250">
        <v>23883.083999999999</v>
      </c>
      <c r="N50" s="250">
        <v>28350.126999999997</v>
      </c>
      <c r="O50" s="250">
        <v>29636.322467999998</v>
      </c>
      <c r="P50" s="13"/>
    </row>
    <row r="51" spans="1:16" ht="19.5" x14ac:dyDescent="0.2">
      <c r="A51" s="203" t="s">
        <v>82</v>
      </c>
      <c r="B51" s="55">
        <v>282.39999999999998</v>
      </c>
      <c r="C51" s="55">
        <v>3021.4</v>
      </c>
      <c r="D51" s="56">
        <v>4640.3</v>
      </c>
      <c r="E51" s="116">
        <v>8009.5</v>
      </c>
      <c r="F51" s="116">
        <v>10836.6</v>
      </c>
      <c r="G51" s="58">
        <v>13453.2</v>
      </c>
      <c r="H51" s="117">
        <v>13603.582</v>
      </c>
      <c r="I51" s="118">
        <v>13145.67</v>
      </c>
      <c r="J51" s="117">
        <v>13678.304</v>
      </c>
      <c r="K51" s="61">
        <v>14271.434855631234</v>
      </c>
      <c r="L51" s="61">
        <v>16351.986999999999</v>
      </c>
      <c r="M51" s="250">
        <v>16269.073</v>
      </c>
      <c r="N51" s="250">
        <v>15214.196</v>
      </c>
      <c r="O51" s="250">
        <v>17808.649400000002</v>
      </c>
      <c r="P51" s="13"/>
    </row>
    <row r="52" spans="1:16" ht="19.5" x14ac:dyDescent="0.2">
      <c r="A52" s="203" t="s">
        <v>38</v>
      </c>
      <c r="B52" s="55">
        <v>1200.5</v>
      </c>
      <c r="C52" s="55">
        <v>3816.2</v>
      </c>
      <c r="D52" s="56">
        <v>12943.9</v>
      </c>
      <c r="E52" s="116">
        <v>14654</v>
      </c>
      <c r="F52" s="116">
        <v>12091.6</v>
      </c>
      <c r="G52" s="58">
        <v>12853.3</v>
      </c>
      <c r="H52" s="117">
        <v>20941.7</v>
      </c>
      <c r="I52" s="118">
        <v>22445</v>
      </c>
      <c r="J52" s="117">
        <v>23990.188999999998</v>
      </c>
      <c r="K52" s="61">
        <v>13761.29058208368</v>
      </c>
      <c r="L52" s="61">
        <v>19052.39</v>
      </c>
      <c r="M52" s="250">
        <v>21427.108</v>
      </c>
      <c r="N52" s="250">
        <v>17746.233</v>
      </c>
      <c r="O52" s="250">
        <v>12690.576999999999</v>
      </c>
      <c r="P52" s="13"/>
    </row>
    <row r="53" spans="1:16" x14ac:dyDescent="0.2">
      <c r="A53" s="203" t="s">
        <v>93</v>
      </c>
      <c r="B53" s="55" t="s">
        <v>39</v>
      </c>
      <c r="C53" s="55" t="s">
        <v>119</v>
      </c>
      <c r="D53" s="56">
        <v>23741.5</v>
      </c>
      <c r="E53" s="116">
        <v>26846.7</v>
      </c>
      <c r="F53" s="116">
        <v>29877.5</v>
      </c>
      <c r="G53" s="58">
        <v>18972.599999999999</v>
      </c>
      <c r="H53" s="117">
        <v>25435.992999999999</v>
      </c>
      <c r="I53" s="118">
        <v>25953.119999999999</v>
      </c>
      <c r="J53" s="117">
        <v>26494.042000000001</v>
      </c>
      <c r="K53" s="61">
        <v>29672.739708170862</v>
      </c>
      <c r="L53" s="61">
        <v>45221.686999999998</v>
      </c>
      <c r="M53" s="250">
        <v>52947.411</v>
      </c>
      <c r="N53" s="250">
        <v>45736.89</v>
      </c>
      <c r="O53" s="250">
        <v>68777.179900000003</v>
      </c>
      <c r="P53" s="13"/>
    </row>
    <row r="54" spans="1:16" x14ac:dyDescent="0.2">
      <c r="A54" s="203" t="s">
        <v>40</v>
      </c>
      <c r="B54" s="55">
        <v>8289</v>
      </c>
      <c r="C54" s="55">
        <v>13040.7</v>
      </c>
      <c r="D54" s="56">
        <v>29457.200000000001</v>
      </c>
      <c r="E54" s="116">
        <v>37565.699999999997</v>
      </c>
      <c r="F54" s="116">
        <v>44663.7</v>
      </c>
      <c r="G54" s="58">
        <v>48008.4</v>
      </c>
      <c r="H54" s="117">
        <v>62969.688999999998</v>
      </c>
      <c r="I54" s="118">
        <v>61908.324000000001</v>
      </c>
      <c r="J54" s="117">
        <v>51970.7</v>
      </c>
      <c r="K54" s="61">
        <v>77829.632449158802</v>
      </c>
      <c r="L54" s="61">
        <v>91707.167000000001</v>
      </c>
      <c r="M54" s="250">
        <v>116526.85799999999</v>
      </c>
      <c r="N54" s="250">
        <v>129965.611</v>
      </c>
      <c r="O54" s="250">
        <v>131595.20439999999</v>
      </c>
      <c r="P54" s="13"/>
    </row>
    <row r="55" spans="1:16" ht="18.75" x14ac:dyDescent="0.2">
      <c r="A55" s="196" t="s">
        <v>139</v>
      </c>
      <c r="B55" s="46">
        <v>81901.8</v>
      </c>
      <c r="C55" s="46">
        <v>280970.5</v>
      </c>
      <c r="D55" s="47">
        <v>686114.7</v>
      </c>
      <c r="E55" s="123">
        <v>811944.9</v>
      </c>
      <c r="F55" s="123">
        <v>1010586.6</v>
      </c>
      <c r="G55" s="109">
        <v>1114417.7</v>
      </c>
      <c r="H55" s="124">
        <v>1192962.1000000001</v>
      </c>
      <c r="I55" s="125">
        <v>1329777.2450000001</v>
      </c>
      <c r="J55" s="124">
        <v>1307540.595</v>
      </c>
      <c r="K55" s="112">
        <v>1366814.0588957216</v>
      </c>
      <c r="L55" s="112">
        <v>1337438.3910000001</v>
      </c>
      <c r="M55" s="403">
        <v>1499687.128</v>
      </c>
      <c r="N55" s="403">
        <v>1481322.53</v>
      </c>
      <c r="O55" s="403">
        <v>1744780.4872999997</v>
      </c>
      <c r="P55" s="13"/>
    </row>
    <row r="56" spans="1:16" x14ac:dyDescent="0.2">
      <c r="A56" s="203" t="s">
        <v>41</v>
      </c>
      <c r="B56" s="55">
        <v>15676.8</v>
      </c>
      <c r="C56" s="55">
        <v>46438.6</v>
      </c>
      <c r="D56" s="56">
        <v>80890</v>
      </c>
      <c r="E56" s="116">
        <v>99076.6</v>
      </c>
      <c r="F56" s="116">
        <v>135626.70000000001</v>
      </c>
      <c r="G56" s="58">
        <v>139640.9</v>
      </c>
      <c r="H56" s="117">
        <v>145411.59899999999</v>
      </c>
      <c r="I56" s="118">
        <v>180738.87400000001</v>
      </c>
      <c r="J56" s="117">
        <v>191359.076</v>
      </c>
      <c r="K56" s="61">
        <v>195779.51050397137</v>
      </c>
      <c r="L56" s="61">
        <v>190419.03599999999</v>
      </c>
      <c r="M56" s="250">
        <v>229538.43100000001</v>
      </c>
      <c r="N56" s="250">
        <v>200126.69699999999</v>
      </c>
      <c r="O56" s="250">
        <v>221227.00159999996</v>
      </c>
      <c r="P56" s="13"/>
    </row>
    <row r="57" spans="1:16" x14ac:dyDescent="0.2">
      <c r="A57" s="203" t="s">
        <v>42</v>
      </c>
      <c r="B57" s="55">
        <v>1066.7</v>
      </c>
      <c r="C57" s="55">
        <v>3475.1</v>
      </c>
      <c r="D57" s="56">
        <v>9511.4</v>
      </c>
      <c r="E57" s="116">
        <v>11955.9</v>
      </c>
      <c r="F57" s="116">
        <v>12353</v>
      </c>
      <c r="G57" s="58">
        <v>13126.9</v>
      </c>
      <c r="H57" s="117">
        <v>14662.7</v>
      </c>
      <c r="I57" s="118">
        <v>15337.258</v>
      </c>
      <c r="J57" s="117">
        <v>13214.732</v>
      </c>
      <c r="K57" s="61">
        <v>13739.726728728197</v>
      </c>
      <c r="L57" s="61">
        <v>14694.825999999999</v>
      </c>
      <c r="M57" s="250">
        <v>18028.334999999999</v>
      </c>
      <c r="N57" s="250">
        <v>21718.161</v>
      </c>
      <c r="O57" s="250">
        <v>29958.382399999999</v>
      </c>
      <c r="P57" s="13"/>
    </row>
    <row r="58" spans="1:16" x14ac:dyDescent="0.2">
      <c r="A58" s="203" t="s">
        <v>43</v>
      </c>
      <c r="B58" s="55">
        <v>1365.9</v>
      </c>
      <c r="C58" s="55">
        <v>5379.9</v>
      </c>
      <c r="D58" s="56">
        <v>17246.099999999999</v>
      </c>
      <c r="E58" s="116">
        <v>26214</v>
      </c>
      <c r="F58" s="116">
        <v>24653.3</v>
      </c>
      <c r="G58" s="58">
        <v>20535.3</v>
      </c>
      <c r="H58" s="117">
        <v>21034.879000000001</v>
      </c>
      <c r="I58" s="118">
        <v>27060.052</v>
      </c>
      <c r="J58" s="117">
        <v>28080.822</v>
      </c>
      <c r="K58" s="61">
        <v>33020.427642224779</v>
      </c>
      <c r="L58" s="61">
        <v>25450.363000000001</v>
      </c>
      <c r="M58" s="250">
        <v>29398.117000000002</v>
      </c>
      <c r="N58" s="250">
        <v>23386.154999999995</v>
      </c>
      <c r="O58" s="250">
        <v>25770.035599999999</v>
      </c>
      <c r="P58" s="13"/>
    </row>
    <row r="59" spans="1:16" x14ac:dyDescent="0.2">
      <c r="A59" s="203" t="s">
        <v>44</v>
      </c>
      <c r="B59" s="55">
        <v>15260.3</v>
      </c>
      <c r="C59" s="55">
        <v>71499.8</v>
      </c>
      <c r="D59" s="56">
        <v>178667.8</v>
      </c>
      <c r="E59" s="116">
        <v>220777.60000000001</v>
      </c>
      <c r="F59" s="116">
        <v>287251</v>
      </c>
      <c r="G59" s="58">
        <v>297459.90000000002</v>
      </c>
      <c r="H59" s="117">
        <v>309629.19300000003</v>
      </c>
      <c r="I59" s="118">
        <v>334183.11800000002</v>
      </c>
      <c r="J59" s="117">
        <v>336856.58299999998</v>
      </c>
      <c r="K59" s="61">
        <v>344427.09745200275</v>
      </c>
      <c r="L59" s="61">
        <v>349095.95600000001</v>
      </c>
      <c r="M59" s="250">
        <v>364230.71100000001</v>
      </c>
      <c r="N59" s="250">
        <v>356076.11300000007</v>
      </c>
      <c r="O59" s="250">
        <v>416227.41070000001</v>
      </c>
      <c r="P59" s="13"/>
    </row>
    <row r="60" spans="1:16" x14ac:dyDescent="0.2">
      <c r="A60" s="203" t="s">
        <v>45</v>
      </c>
      <c r="B60" s="55">
        <v>4193.8999999999996</v>
      </c>
      <c r="C60" s="55">
        <v>9068.6</v>
      </c>
      <c r="D60" s="56">
        <v>23586.5</v>
      </c>
      <c r="E60" s="116">
        <v>25025.7</v>
      </c>
      <c r="F60" s="116">
        <v>26811.599999999999</v>
      </c>
      <c r="G60" s="58">
        <v>35643.300000000003</v>
      </c>
      <c r="H60" s="117">
        <v>38718.139000000003</v>
      </c>
      <c r="I60" s="118">
        <v>44163.749000000003</v>
      </c>
      <c r="J60" s="117">
        <v>42729</v>
      </c>
      <c r="K60" s="61">
        <v>40987.693321134946</v>
      </c>
      <c r="L60" s="61">
        <v>40975.273000000001</v>
      </c>
      <c r="M60" s="250">
        <v>49706.534000000007</v>
      </c>
      <c r="N60" s="250">
        <v>55990.495999999999</v>
      </c>
      <c r="O60" s="250">
        <v>68162.594100000002</v>
      </c>
      <c r="P60" s="13"/>
    </row>
    <row r="61" spans="1:16" x14ac:dyDescent="0.2">
      <c r="A61" s="203" t="s">
        <v>46</v>
      </c>
      <c r="B61" s="55">
        <v>2710.7</v>
      </c>
      <c r="C61" s="55">
        <v>9942</v>
      </c>
      <c r="D61" s="56">
        <v>19501.7</v>
      </c>
      <c r="E61" s="116">
        <v>23710.6</v>
      </c>
      <c r="F61" s="116">
        <v>27823.4</v>
      </c>
      <c r="G61" s="58">
        <v>34931.599999999999</v>
      </c>
      <c r="H61" s="117">
        <v>36961.396999999997</v>
      </c>
      <c r="I61" s="118">
        <v>35325.510999999999</v>
      </c>
      <c r="J61" s="117">
        <v>35842.483999999997</v>
      </c>
      <c r="K61" s="61">
        <v>33865.220041302593</v>
      </c>
      <c r="L61" s="61">
        <v>39599.387000000002</v>
      </c>
      <c r="M61" s="250">
        <v>38530.722999999998</v>
      </c>
      <c r="N61" s="250">
        <v>38242.972000000002</v>
      </c>
      <c r="O61" s="250">
        <v>45420.016199999998</v>
      </c>
      <c r="P61" s="13"/>
    </row>
    <row r="62" spans="1:16" x14ac:dyDescent="0.2">
      <c r="A62" s="203" t="s">
        <v>47</v>
      </c>
      <c r="B62" s="55">
        <v>8024.6</v>
      </c>
      <c r="C62" s="55">
        <v>23976.3</v>
      </c>
      <c r="D62" s="56">
        <v>70636.7</v>
      </c>
      <c r="E62" s="116">
        <v>74574.600000000006</v>
      </c>
      <c r="F62" s="116">
        <v>76933.600000000006</v>
      </c>
      <c r="G62" s="58">
        <v>85927.1</v>
      </c>
      <c r="H62" s="117">
        <v>93206.076000000001</v>
      </c>
      <c r="I62" s="118">
        <v>111970.07</v>
      </c>
      <c r="J62" s="117">
        <v>104939.143</v>
      </c>
      <c r="K62" s="61">
        <v>118037.3473479673</v>
      </c>
      <c r="L62" s="61">
        <v>120213.54</v>
      </c>
      <c r="M62" s="250">
        <v>144726.44699999999</v>
      </c>
      <c r="N62" s="250">
        <v>146863.83100000001</v>
      </c>
      <c r="O62" s="250">
        <v>151122.31759999998</v>
      </c>
      <c r="P62" s="13"/>
    </row>
    <row r="63" spans="1:16" x14ac:dyDescent="0.2">
      <c r="A63" s="203" t="s">
        <v>48</v>
      </c>
      <c r="B63" s="55">
        <v>2455.8000000000002</v>
      </c>
      <c r="C63" s="55">
        <v>5533.6</v>
      </c>
      <c r="D63" s="56">
        <v>16213.7</v>
      </c>
      <c r="E63" s="116">
        <v>17803.400000000001</v>
      </c>
      <c r="F63" s="116">
        <v>22155.8</v>
      </c>
      <c r="G63" s="58">
        <v>26013.9</v>
      </c>
      <c r="H63" s="117">
        <v>28330.469000000001</v>
      </c>
      <c r="I63" s="118">
        <v>33945.614999999998</v>
      </c>
      <c r="J63" s="117">
        <v>33672.457999999999</v>
      </c>
      <c r="K63" s="61">
        <v>32297.516998015668</v>
      </c>
      <c r="L63" s="61">
        <v>33388.381999999998</v>
      </c>
      <c r="M63" s="250">
        <v>32950.851000000002</v>
      </c>
      <c r="N63" s="250">
        <v>32132.598000000002</v>
      </c>
      <c r="O63" s="250">
        <v>30771.1836</v>
      </c>
      <c r="P63" s="13"/>
    </row>
    <row r="64" spans="1:16" x14ac:dyDescent="0.2">
      <c r="A64" s="203" t="s">
        <v>49</v>
      </c>
      <c r="B64" s="55">
        <v>6559.5</v>
      </c>
      <c r="C64" s="55">
        <v>31794.5</v>
      </c>
      <c r="D64" s="56">
        <v>97822.3</v>
      </c>
      <c r="E64" s="116">
        <v>109311.4</v>
      </c>
      <c r="F64" s="116">
        <v>128349.8</v>
      </c>
      <c r="G64" s="58">
        <v>142638.29999999999</v>
      </c>
      <c r="H64" s="117">
        <v>155110.726</v>
      </c>
      <c r="I64" s="118">
        <v>150106.79999999999</v>
      </c>
      <c r="J64" s="117">
        <v>153216.152</v>
      </c>
      <c r="K64" s="61">
        <v>168993.34388168497</v>
      </c>
      <c r="L64" s="61">
        <v>143775.932</v>
      </c>
      <c r="M64" s="250">
        <v>181487.85200000001</v>
      </c>
      <c r="N64" s="250">
        <v>192855.609</v>
      </c>
      <c r="O64" s="250">
        <v>205789.27040000001</v>
      </c>
      <c r="P64" s="13"/>
    </row>
    <row r="65" spans="1:16" x14ac:dyDescent="0.2">
      <c r="A65" s="203" t="s">
        <v>50</v>
      </c>
      <c r="B65" s="55">
        <v>5197.8</v>
      </c>
      <c r="C65" s="55">
        <v>13184.2</v>
      </c>
      <c r="D65" s="56">
        <v>31409.1</v>
      </c>
      <c r="E65" s="116">
        <v>35025.4</v>
      </c>
      <c r="F65" s="116">
        <v>41873.5</v>
      </c>
      <c r="G65" s="58">
        <v>41456.1</v>
      </c>
      <c r="H65" s="117">
        <v>47597.375</v>
      </c>
      <c r="I65" s="118">
        <v>60566.735000000001</v>
      </c>
      <c r="J65" s="117">
        <v>49750.762000000002</v>
      </c>
      <c r="K65" s="61">
        <v>62949.94611977684</v>
      </c>
      <c r="L65" s="61">
        <v>78643.521999999997</v>
      </c>
      <c r="M65" s="250">
        <v>101306.976</v>
      </c>
      <c r="N65" s="250">
        <v>89727.982999999993</v>
      </c>
      <c r="O65" s="250">
        <v>97307.128400000001</v>
      </c>
      <c r="P65" s="13"/>
    </row>
    <row r="66" spans="1:16" x14ac:dyDescent="0.2">
      <c r="A66" s="203" t="s">
        <v>51</v>
      </c>
      <c r="B66" s="55">
        <v>2343.3000000000002</v>
      </c>
      <c r="C66" s="55">
        <v>7085.9</v>
      </c>
      <c r="D66" s="56">
        <v>21573.5</v>
      </c>
      <c r="E66" s="116">
        <v>27574.1</v>
      </c>
      <c r="F66" s="116">
        <v>37437.300000000003</v>
      </c>
      <c r="G66" s="58">
        <v>40293.9</v>
      </c>
      <c r="H66" s="117">
        <v>39824.711000000003</v>
      </c>
      <c r="I66" s="118">
        <v>39423.862999999998</v>
      </c>
      <c r="J66" s="117">
        <v>33648.402999999998</v>
      </c>
      <c r="K66" s="61">
        <v>31959.455607270567</v>
      </c>
      <c r="L66" s="61">
        <v>31499.566999999999</v>
      </c>
      <c r="M66" s="250">
        <v>39153.014999999999</v>
      </c>
      <c r="N66" s="250">
        <v>45335.48599999999</v>
      </c>
      <c r="O66" s="250">
        <v>50011.693399999989</v>
      </c>
      <c r="P66" s="13"/>
    </row>
    <row r="67" spans="1:16" x14ac:dyDescent="0.2">
      <c r="A67" s="203" t="s">
        <v>52</v>
      </c>
      <c r="B67" s="55">
        <v>8643.5</v>
      </c>
      <c r="C67" s="55">
        <v>27600.2</v>
      </c>
      <c r="D67" s="56">
        <v>61213.3</v>
      </c>
      <c r="E67" s="116">
        <v>67670.3</v>
      </c>
      <c r="F67" s="116">
        <v>103007.8</v>
      </c>
      <c r="G67" s="58">
        <v>139333</v>
      </c>
      <c r="H67" s="117">
        <v>159384.774</v>
      </c>
      <c r="I67" s="118">
        <v>170735.05</v>
      </c>
      <c r="J67" s="117">
        <v>187629.516</v>
      </c>
      <c r="K67" s="61">
        <v>191782.13356267696</v>
      </c>
      <c r="L67" s="61">
        <v>159193.56400000001</v>
      </c>
      <c r="M67" s="250">
        <v>163260.986</v>
      </c>
      <c r="N67" s="250">
        <v>168286.71299999999</v>
      </c>
      <c r="O67" s="250">
        <v>254058.3407</v>
      </c>
      <c r="P67" s="13"/>
    </row>
    <row r="68" spans="1:16" x14ac:dyDescent="0.2">
      <c r="A68" s="203" t="s">
        <v>53</v>
      </c>
      <c r="B68" s="55">
        <v>5764.1</v>
      </c>
      <c r="C68" s="55">
        <v>20743.400000000001</v>
      </c>
      <c r="D68" s="56">
        <v>38739.599999999999</v>
      </c>
      <c r="E68" s="116">
        <v>46605.5</v>
      </c>
      <c r="F68" s="116">
        <v>54143.199999999997</v>
      </c>
      <c r="G68" s="58">
        <v>59730.6</v>
      </c>
      <c r="H68" s="117">
        <v>60248.597999999998</v>
      </c>
      <c r="I68" s="118">
        <v>76562.063999999998</v>
      </c>
      <c r="J68" s="117">
        <v>54852.66</v>
      </c>
      <c r="K68" s="61">
        <v>59974.395649476333</v>
      </c>
      <c r="L68" s="61">
        <v>63768.377</v>
      </c>
      <c r="M68" s="250">
        <v>66526.216</v>
      </c>
      <c r="N68" s="250">
        <v>72130.982000000004</v>
      </c>
      <c r="O68" s="250">
        <v>120517.54720000002</v>
      </c>
      <c r="P68" s="13"/>
    </row>
    <row r="69" spans="1:16" x14ac:dyDescent="0.2">
      <c r="A69" s="203" t="s">
        <v>54</v>
      </c>
      <c r="B69" s="55">
        <v>2638.9</v>
      </c>
      <c r="C69" s="55">
        <v>5248.4</v>
      </c>
      <c r="D69" s="56">
        <v>19103</v>
      </c>
      <c r="E69" s="116">
        <v>26619.9</v>
      </c>
      <c r="F69" s="116">
        <v>32166.5</v>
      </c>
      <c r="G69" s="58">
        <v>37686.9</v>
      </c>
      <c r="H69" s="117">
        <v>42841.442999999999</v>
      </c>
      <c r="I69" s="118">
        <v>49658.485999999997</v>
      </c>
      <c r="J69" s="117">
        <v>41748.803999999996</v>
      </c>
      <c r="K69" s="61">
        <v>39000.244039488571</v>
      </c>
      <c r="L69" s="61">
        <v>46720.665999999997</v>
      </c>
      <c r="M69" s="250">
        <v>40841.934000000001</v>
      </c>
      <c r="N69" s="250">
        <v>38448.734000000004</v>
      </c>
      <c r="O69" s="250">
        <v>28437.565400000003</v>
      </c>
      <c r="P69" s="13"/>
    </row>
    <row r="70" spans="1:16" ht="18.75" x14ac:dyDescent="0.2">
      <c r="A70" s="196" t="s">
        <v>140</v>
      </c>
      <c r="B70" s="46">
        <v>83695</v>
      </c>
      <c r="C70" s="46">
        <v>245824.2</v>
      </c>
      <c r="D70" s="47">
        <v>578855.4</v>
      </c>
      <c r="E70" s="123">
        <v>638123.80000000005</v>
      </c>
      <c r="F70" s="123">
        <v>708946.6</v>
      </c>
      <c r="G70" s="109">
        <v>706213.3</v>
      </c>
      <c r="H70" s="123">
        <v>716109.24600000004</v>
      </c>
      <c r="I70" s="125">
        <v>816487.82700000005</v>
      </c>
      <c r="J70" s="124">
        <v>854442.60400000005</v>
      </c>
      <c r="K70" s="112">
        <v>874544.05845671217</v>
      </c>
      <c r="L70" s="112">
        <v>1331562.949</v>
      </c>
      <c r="M70" s="403">
        <v>1264369.5089803804</v>
      </c>
      <c r="N70" s="403">
        <v>1488563.9760000003</v>
      </c>
      <c r="O70" s="403">
        <v>1671207.8137999999</v>
      </c>
      <c r="P70" s="13"/>
    </row>
    <row r="71" spans="1:16" x14ac:dyDescent="0.2">
      <c r="A71" s="203" t="s">
        <v>55</v>
      </c>
      <c r="B71" s="55">
        <v>1150.4000000000001</v>
      </c>
      <c r="C71" s="55">
        <v>3901.6</v>
      </c>
      <c r="D71" s="56">
        <v>8954.2999999999993</v>
      </c>
      <c r="E71" s="116">
        <v>9938.5</v>
      </c>
      <c r="F71" s="116">
        <v>10925</v>
      </c>
      <c r="G71" s="58">
        <v>13396</v>
      </c>
      <c r="H71" s="116">
        <v>12995.958000000001</v>
      </c>
      <c r="I71" s="118">
        <v>13182.285</v>
      </c>
      <c r="J71" s="117">
        <v>12214.239</v>
      </c>
      <c r="K71" s="61">
        <v>13972.99635104648</v>
      </c>
      <c r="L71" s="61">
        <v>14906.904</v>
      </c>
      <c r="M71" s="250">
        <v>21663.989000000001</v>
      </c>
      <c r="N71" s="250">
        <v>23328.195000000003</v>
      </c>
      <c r="O71" s="250">
        <v>21323.0556</v>
      </c>
      <c r="P71" s="13"/>
    </row>
    <row r="72" spans="1:16" x14ac:dyDescent="0.2">
      <c r="A72" s="203" t="s">
        <v>56</v>
      </c>
      <c r="B72" s="55">
        <v>12199.8</v>
      </c>
      <c r="C72" s="55">
        <v>42432.4</v>
      </c>
      <c r="D72" s="56">
        <v>88889.600000000006</v>
      </c>
      <c r="E72" s="116">
        <v>106466.6</v>
      </c>
      <c r="F72" s="116">
        <v>112859.9</v>
      </c>
      <c r="G72" s="58">
        <v>107171.5</v>
      </c>
      <c r="H72" s="116">
        <v>107973.348</v>
      </c>
      <c r="I72" s="118">
        <v>188056.47099999999</v>
      </c>
      <c r="J72" s="117">
        <v>185497.96900000001</v>
      </c>
      <c r="K72" s="61">
        <v>188226.83927553761</v>
      </c>
      <c r="L72" s="61">
        <v>210622.79699999999</v>
      </c>
      <c r="M72" s="250">
        <v>199593.75399999999</v>
      </c>
      <c r="N72" s="250">
        <v>226786.87599999999</v>
      </c>
      <c r="O72" s="250">
        <v>267074.53470000002</v>
      </c>
      <c r="P72" s="13"/>
    </row>
    <row r="73" spans="1:16" x14ac:dyDescent="0.2">
      <c r="A73" s="203" t="s">
        <v>57</v>
      </c>
      <c r="B73" s="55">
        <v>58964.4</v>
      </c>
      <c r="C73" s="55">
        <v>172033.4</v>
      </c>
      <c r="D73" s="56">
        <v>426342.9</v>
      </c>
      <c r="E73" s="116">
        <v>455932.8</v>
      </c>
      <c r="F73" s="116">
        <v>514270.1</v>
      </c>
      <c r="G73" s="58">
        <v>506941.6</v>
      </c>
      <c r="H73" s="116">
        <v>515241.80300000001</v>
      </c>
      <c r="I73" s="118">
        <v>488850.30099999998</v>
      </c>
      <c r="J73" s="117">
        <v>534031.84299999999</v>
      </c>
      <c r="K73" s="61">
        <v>565906.26889173989</v>
      </c>
      <c r="L73" s="61">
        <v>996360.70499999996</v>
      </c>
      <c r="M73" s="250">
        <v>933180.66098038014</v>
      </c>
      <c r="N73" s="250">
        <v>1116973.7860000001</v>
      </c>
      <c r="O73" s="250">
        <v>1229833.9085999997</v>
      </c>
      <c r="P73" s="13"/>
    </row>
    <row r="74" spans="1:16" x14ac:dyDescent="0.2">
      <c r="A74" s="119" t="s">
        <v>58</v>
      </c>
      <c r="B74" s="55"/>
      <c r="C74" s="55"/>
      <c r="D74" s="56"/>
      <c r="E74" s="116"/>
      <c r="F74" s="117"/>
      <c r="G74" s="58"/>
      <c r="H74" s="117"/>
      <c r="I74" s="117"/>
      <c r="K74" s="120"/>
      <c r="L74" s="127"/>
      <c r="M74" s="344"/>
      <c r="N74" s="404"/>
      <c r="O74" s="250"/>
      <c r="P74" s="13"/>
    </row>
    <row r="75" spans="1:16" ht="19.5" x14ac:dyDescent="0.2">
      <c r="A75" s="121" t="s">
        <v>85</v>
      </c>
      <c r="B75" s="55">
        <v>31972.1</v>
      </c>
      <c r="C75" s="55">
        <v>71611.899999999994</v>
      </c>
      <c r="D75" s="56">
        <v>176794.9</v>
      </c>
      <c r="E75" s="116">
        <v>219657.7</v>
      </c>
      <c r="F75" s="116">
        <v>246503.8</v>
      </c>
      <c r="G75" s="58">
        <v>229549.6</v>
      </c>
      <c r="H75" s="116">
        <v>217036.12400000001</v>
      </c>
      <c r="I75" s="118">
        <v>216178.06700000001</v>
      </c>
      <c r="J75" s="117">
        <v>196975.367</v>
      </c>
      <c r="K75" s="61">
        <v>227074.91834695844</v>
      </c>
      <c r="L75" s="61">
        <v>336103.86</v>
      </c>
      <c r="M75" s="250">
        <v>324683.80200000003</v>
      </c>
      <c r="N75" s="250">
        <v>367911.43900000007</v>
      </c>
      <c r="O75" s="250">
        <v>404588.15369999997</v>
      </c>
      <c r="P75" s="13"/>
    </row>
    <row r="76" spans="1:16" ht="19.5" x14ac:dyDescent="0.2">
      <c r="A76" s="121" t="s">
        <v>59</v>
      </c>
      <c r="B76" s="55">
        <v>21265.7</v>
      </c>
      <c r="C76" s="55">
        <v>61704.6</v>
      </c>
      <c r="D76" s="56">
        <v>179857.3</v>
      </c>
      <c r="E76" s="116">
        <v>156558.9</v>
      </c>
      <c r="F76" s="116">
        <v>165026.20000000001</v>
      </c>
      <c r="G76" s="58">
        <v>141827.6</v>
      </c>
      <c r="H76" s="116">
        <v>151154.79999999999</v>
      </c>
      <c r="I76" s="118">
        <v>138303.253</v>
      </c>
      <c r="J76" s="117">
        <v>177220.45699999999</v>
      </c>
      <c r="K76" s="61">
        <v>157482.17998316107</v>
      </c>
      <c r="L76" s="61">
        <v>424490.01899999997</v>
      </c>
      <c r="M76" s="250">
        <v>389750.35398038023</v>
      </c>
      <c r="N76" s="250">
        <v>574861.64199999999</v>
      </c>
      <c r="O76" s="250">
        <v>673592.0811999999</v>
      </c>
      <c r="P76" s="13"/>
    </row>
    <row r="77" spans="1:16" ht="19.5" x14ac:dyDescent="0.2">
      <c r="A77" s="121" t="s">
        <v>83</v>
      </c>
      <c r="B77" s="55">
        <f>B73-B75-B76</f>
        <v>5726.6000000000022</v>
      </c>
      <c r="C77" s="55">
        <f>C73-C75-C76</f>
        <v>38716.9</v>
      </c>
      <c r="D77" s="56">
        <f t="shared" ref="D77" si="1">D73-D75-D76</f>
        <v>69690.700000000041</v>
      </c>
      <c r="E77" s="116">
        <v>79716.2</v>
      </c>
      <c r="F77" s="116">
        <v>102740.1</v>
      </c>
      <c r="G77" s="58">
        <v>135564.4</v>
      </c>
      <c r="H77" s="116">
        <v>147050.94200000001</v>
      </c>
      <c r="I77" s="118">
        <v>134368.981</v>
      </c>
      <c r="J77" s="117">
        <v>159836.01999999999</v>
      </c>
      <c r="K77" s="61">
        <v>181349.17159033191</v>
      </c>
      <c r="L77" s="61">
        <v>235766.826</v>
      </c>
      <c r="M77" s="250">
        <v>218746.505</v>
      </c>
      <c r="N77" s="250">
        <v>174200.70499999999</v>
      </c>
      <c r="O77" s="250">
        <v>151653.67366299999</v>
      </c>
      <c r="P77" s="13"/>
    </row>
    <row r="78" spans="1:16" x14ac:dyDescent="0.2">
      <c r="A78" s="203" t="s">
        <v>60</v>
      </c>
      <c r="B78" s="55">
        <v>11380.4</v>
      </c>
      <c r="C78" s="55">
        <v>27456.799999999999</v>
      </c>
      <c r="D78" s="56">
        <v>54668.6</v>
      </c>
      <c r="E78" s="116">
        <v>65785.899999999994</v>
      </c>
      <c r="F78" s="116">
        <v>70891.7</v>
      </c>
      <c r="G78" s="58">
        <v>78704.255999999994</v>
      </c>
      <c r="H78" s="116">
        <v>79898.137000000002</v>
      </c>
      <c r="I78" s="118">
        <v>126398.77</v>
      </c>
      <c r="J78" s="117">
        <v>122698.553</v>
      </c>
      <c r="K78" s="61">
        <v>106437.95393838818</v>
      </c>
      <c r="L78" s="61">
        <v>109672.54300000001</v>
      </c>
      <c r="M78" s="250">
        <v>109931.105</v>
      </c>
      <c r="N78" s="250">
        <v>121475.11900000002</v>
      </c>
      <c r="O78" s="250">
        <v>152976.3149</v>
      </c>
      <c r="P78" s="13"/>
    </row>
    <row r="79" spans="1:16" ht="18.75" x14ac:dyDescent="0.2">
      <c r="A79" s="196" t="s">
        <v>141</v>
      </c>
      <c r="B79" s="46">
        <v>46866.8</v>
      </c>
      <c r="C79" s="46">
        <v>153980.5</v>
      </c>
      <c r="D79" s="47">
        <v>377852.1</v>
      </c>
      <c r="E79" s="123">
        <v>469761.1</v>
      </c>
      <c r="F79" s="123">
        <v>552385.4</v>
      </c>
      <c r="G79" s="109">
        <v>567272.1</v>
      </c>
      <c r="H79" s="123">
        <v>573930.1</v>
      </c>
      <c r="I79" s="125">
        <v>733398.4</v>
      </c>
      <c r="J79" s="124">
        <v>737558.7</v>
      </c>
      <c r="K79" s="124">
        <v>741738.88482545409</v>
      </c>
      <c r="L79" s="124">
        <v>746459.41200000001</v>
      </c>
      <c r="M79" s="405">
        <v>862644.571</v>
      </c>
      <c r="N79" s="405">
        <v>874893.8969981845</v>
      </c>
      <c r="O79" s="403">
        <v>1127309.6010999999</v>
      </c>
      <c r="P79" s="13"/>
    </row>
    <row r="80" spans="1:16" x14ac:dyDescent="0.2">
      <c r="A80" s="203" t="s">
        <v>61</v>
      </c>
      <c r="B80" s="55">
        <v>300</v>
      </c>
      <c r="C80" s="55">
        <v>1881.4</v>
      </c>
      <c r="D80" s="56">
        <v>8320.7000000000007</v>
      </c>
      <c r="E80" s="116">
        <v>10481.6</v>
      </c>
      <c r="F80" s="116">
        <v>7137.1</v>
      </c>
      <c r="G80" s="58">
        <v>7196.6</v>
      </c>
      <c r="H80" s="116">
        <v>8013.4369999999999</v>
      </c>
      <c r="I80" s="118">
        <v>6798.2209999999995</v>
      </c>
      <c r="J80" s="117">
        <v>7524.6220000000003</v>
      </c>
      <c r="K80" s="61">
        <v>6412.7877524411979</v>
      </c>
      <c r="L80" s="61">
        <v>9491.4140000000007</v>
      </c>
      <c r="M80" s="250">
        <v>11877.853999999999</v>
      </c>
      <c r="N80" s="250">
        <v>10132.200000000001</v>
      </c>
      <c r="O80" s="250">
        <v>8615.8564000000006</v>
      </c>
      <c r="P80" s="13"/>
    </row>
    <row r="81" spans="1:16" x14ac:dyDescent="0.2">
      <c r="A81" s="203" t="s">
        <v>63</v>
      </c>
      <c r="B81" s="55">
        <v>152.4</v>
      </c>
      <c r="C81" s="55">
        <v>634.29999999999995</v>
      </c>
      <c r="D81" s="56">
        <v>2225.9</v>
      </c>
      <c r="E81" s="116">
        <v>2463.1999999999998</v>
      </c>
      <c r="F81" s="116">
        <v>2511.5</v>
      </c>
      <c r="G81" s="58">
        <v>4192.5810000000001</v>
      </c>
      <c r="H81" s="116">
        <v>5404.9589999999998</v>
      </c>
      <c r="I81" s="118">
        <v>4783.4340000000002</v>
      </c>
      <c r="J81" s="117">
        <v>4922.7510000000002</v>
      </c>
      <c r="K81" s="117">
        <v>6549.6177161214791</v>
      </c>
      <c r="L81" s="117">
        <v>6391.9110000000001</v>
      </c>
      <c r="M81" s="105">
        <v>11062.2</v>
      </c>
      <c r="N81" s="250">
        <v>12104.343000000001</v>
      </c>
      <c r="O81" s="250">
        <v>8976.6134999999995</v>
      </c>
      <c r="P81" s="13"/>
    </row>
    <row r="82" spans="1:16" x14ac:dyDescent="0.2">
      <c r="A82" s="203" t="s">
        <v>64</v>
      </c>
      <c r="B82" s="55">
        <v>1380.7</v>
      </c>
      <c r="C82" s="55">
        <v>6682.4</v>
      </c>
      <c r="D82" s="56">
        <v>7602</v>
      </c>
      <c r="E82" s="116">
        <v>10027.299999999999</v>
      </c>
      <c r="F82" s="116">
        <v>12852.4</v>
      </c>
      <c r="G82" s="58">
        <v>14884.119000000001</v>
      </c>
      <c r="H82" s="116">
        <v>12306.763000000001</v>
      </c>
      <c r="I82" s="118">
        <v>14770.06</v>
      </c>
      <c r="J82" s="117">
        <v>15056.486000000001</v>
      </c>
      <c r="K82" s="61">
        <v>14544.788226923678</v>
      </c>
      <c r="L82" s="61">
        <v>15348.009</v>
      </c>
      <c r="M82" s="250">
        <v>17967.7</v>
      </c>
      <c r="N82" s="250">
        <v>17449.784</v>
      </c>
      <c r="O82" s="250">
        <v>19292.1957</v>
      </c>
      <c r="P82" s="13"/>
    </row>
    <row r="83" spans="1:16" x14ac:dyDescent="0.2">
      <c r="A83" s="203" t="s">
        <v>65</v>
      </c>
      <c r="B83" s="55">
        <v>4765</v>
      </c>
      <c r="C83" s="55">
        <v>10743</v>
      </c>
      <c r="D83" s="56">
        <v>20881.3</v>
      </c>
      <c r="E83" s="116">
        <v>27396.5</v>
      </c>
      <c r="F83" s="116">
        <v>29863.8</v>
      </c>
      <c r="G83" s="58">
        <v>34108.574999999997</v>
      </c>
      <c r="H83" s="116">
        <v>34630.699999999997</v>
      </c>
      <c r="I83" s="118">
        <v>52207.396999999997</v>
      </c>
      <c r="J83" s="117">
        <v>45834.046999999999</v>
      </c>
      <c r="K83" s="61">
        <v>56493.5276206337</v>
      </c>
      <c r="L83" s="61">
        <v>54195.620999999999</v>
      </c>
      <c r="M83" s="250">
        <v>58395.199999999997</v>
      </c>
      <c r="N83" s="250">
        <v>67042.978000000003</v>
      </c>
      <c r="O83" s="250">
        <v>79113.042499999996</v>
      </c>
      <c r="P83" s="13"/>
    </row>
    <row r="84" spans="1:16" x14ac:dyDescent="0.2">
      <c r="A84" s="203" t="s">
        <v>67</v>
      </c>
      <c r="B84" s="55">
        <v>12370.8</v>
      </c>
      <c r="C84" s="55">
        <v>24634.7</v>
      </c>
      <c r="D84" s="56">
        <v>87265.2</v>
      </c>
      <c r="E84" s="116">
        <v>107462.7</v>
      </c>
      <c r="F84" s="116">
        <v>133576.1</v>
      </c>
      <c r="G84" s="58">
        <v>135541.6</v>
      </c>
      <c r="H84" s="116">
        <v>133530.5</v>
      </c>
      <c r="I84" s="118">
        <v>185744.18400000001</v>
      </c>
      <c r="J84" s="117">
        <v>201674.60200000001</v>
      </c>
      <c r="K84" s="61">
        <v>177180.94930633553</v>
      </c>
      <c r="L84" s="61">
        <v>165170.875</v>
      </c>
      <c r="M84" s="250">
        <v>157227.20000000001</v>
      </c>
      <c r="N84" s="250">
        <v>173086.41599818456</v>
      </c>
      <c r="O84" s="250">
        <v>229642.13440000001</v>
      </c>
      <c r="P84" s="13"/>
    </row>
    <row r="85" spans="1:16" x14ac:dyDescent="0.2">
      <c r="A85" s="203" t="s">
        <v>68</v>
      </c>
      <c r="B85" s="55">
        <v>6511.9</v>
      </c>
      <c r="C85" s="55">
        <v>20544.400000000001</v>
      </c>
      <c r="D85" s="56">
        <v>55017.7</v>
      </c>
      <c r="E85" s="116">
        <v>63825.4</v>
      </c>
      <c r="F85" s="116">
        <v>89331.9</v>
      </c>
      <c r="G85" s="58">
        <v>94617</v>
      </c>
      <c r="H85" s="116">
        <v>89312.634999999995</v>
      </c>
      <c r="I85" s="118">
        <v>98839.388999999996</v>
      </c>
      <c r="J85" s="117">
        <v>131835.96</v>
      </c>
      <c r="K85" s="61">
        <v>130347.82739018851</v>
      </c>
      <c r="L85" s="61">
        <v>113826.408</v>
      </c>
      <c r="M85" s="250">
        <v>158311.4</v>
      </c>
      <c r="N85" s="250">
        <v>164413.51999999999</v>
      </c>
      <c r="O85" s="250">
        <v>294404.44459999999</v>
      </c>
      <c r="P85" s="13"/>
    </row>
    <row r="86" spans="1:16" x14ac:dyDescent="0.2">
      <c r="A86" s="203" t="s">
        <v>156</v>
      </c>
      <c r="B86" s="55">
        <v>8281.2000000000007</v>
      </c>
      <c r="C86" s="55">
        <v>35251.699999999997</v>
      </c>
      <c r="D86" s="56">
        <v>69863</v>
      </c>
      <c r="E86" s="116">
        <v>102265.8</v>
      </c>
      <c r="F86" s="116">
        <v>114065.1</v>
      </c>
      <c r="G86" s="58">
        <v>111660.158</v>
      </c>
      <c r="H86" s="116">
        <v>121652.001</v>
      </c>
      <c r="I86" s="118">
        <v>111619.56299999999</v>
      </c>
      <c r="J86" s="117">
        <v>95732.472999999998</v>
      </c>
      <c r="K86" s="61">
        <v>117662.32229064606</v>
      </c>
      <c r="L86" s="61">
        <v>130050.564</v>
      </c>
      <c r="M86" s="250">
        <v>156019.20000000001</v>
      </c>
      <c r="N86" s="250">
        <v>130829.29600000002</v>
      </c>
      <c r="O86" s="250">
        <v>160186.99519999998</v>
      </c>
      <c r="P86" s="13"/>
    </row>
    <row r="87" spans="1:16" x14ac:dyDescent="0.2">
      <c r="A87" s="203" t="s">
        <v>69</v>
      </c>
      <c r="B87" s="55">
        <v>7166.4</v>
      </c>
      <c r="C87" s="55">
        <v>15750.1</v>
      </c>
      <c r="D87" s="56">
        <v>52873.9</v>
      </c>
      <c r="E87" s="116">
        <v>56372.7</v>
      </c>
      <c r="F87" s="116">
        <v>66337.899999999994</v>
      </c>
      <c r="G87" s="58">
        <v>69909.2</v>
      </c>
      <c r="H87" s="116">
        <v>68539.153999999995</v>
      </c>
      <c r="I87" s="118">
        <v>142304.22099999999</v>
      </c>
      <c r="J87" s="117">
        <v>114883.5</v>
      </c>
      <c r="K87" s="61">
        <v>117545.62935727938</v>
      </c>
      <c r="L87" s="61">
        <v>132879.443</v>
      </c>
      <c r="M87" s="250">
        <v>137383.1</v>
      </c>
      <c r="N87" s="250">
        <v>142963.18699999998</v>
      </c>
      <c r="O87" s="250">
        <v>154408.42619999999</v>
      </c>
      <c r="P87" s="13"/>
    </row>
    <row r="88" spans="1:16" x14ac:dyDescent="0.2">
      <c r="A88" s="203" t="s">
        <v>70</v>
      </c>
      <c r="B88" s="55">
        <v>2549.1</v>
      </c>
      <c r="C88" s="55">
        <v>21401.9</v>
      </c>
      <c r="D88" s="56">
        <v>42953.7</v>
      </c>
      <c r="E88" s="116">
        <v>50613.5</v>
      </c>
      <c r="F88" s="116">
        <v>58037.2</v>
      </c>
      <c r="G88" s="58">
        <v>60713.2</v>
      </c>
      <c r="H88" s="116">
        <v>61925.8</v>
      </c>
      <c r="I88" s="118">
        <v>63374.442000000003</v>
      </c>
      <c r="J88" s="117">
        <v>62668.415000000001</v>
      </c>
      <c r="K88" s="61">
        <v>64752.010248429957</v>
      </c>
      <c r="L88" s="61">
        <v>74079.085000000006</v>
      </c>
      <c r="M88" s="250">
        <v>99500.4</v>
      </c>
      <c r="N88" s="250">
        <v>98666.270999999993</v>
      </c>
      <c r="O88" s="250">
        <v>110466.9985</v>
      </c>
      <c r="P88" s="13"/>
    </row>
    <row r="89" spans="1:16" x14ac:dyDescent="0.2">
      <c r="A89" s="203" t="s">
        <v>71</v>
      </c>
      <c r="B89" s="55">
        <v>3389.3</v>
      </c>
      <c r="C89" s="55">
        <v>16456.599999999999</v>
      </c>
      <c r="D89" s="56">
        <v>30848.7</v>
      </c>
      <c r="E89" s="116">
        <v>38852.400000000001</v>
      </c>
      <c r="F89" s="116">
        <v>38672.400000000001</v>
      </c>
      <c r="G89" s="58">
        <v>34449.1</v>
      </c>
      <c r="H89" s="116">
        <v>38614.154000000002</v>
      </c>
      <c r="I89" s="118">
        <v>52957.483</v>
      </c>
      <c r="J89" s="117">
        <v>57425.841999999997</v>
      </c>
      <c r="K89" s="61">
        <v>50249.424916454685</v>
      </c>
      <c r="L89" s="61">
        <v>45026.082000000002</v>
      </c>
      <c r="M89" s="250">
        <v>54900.2</v>
      </c>
      <c r="N89" s="250">
        <v>58205.902000000002</v>
      </c>
      <c r="O89" s="250">
        <v>62202.89409999999</v>
      </c>
      <c r="P89" s="13"/>
    </row>
    <row r="90" spans="1:16" ht="18.75" x14ac:dyDescent="0.2">
      <c r="A90" s="196" t="s">
        <v>142</v>
      </c>
      <c r="B90" s="46">
        <v>31857</v>
      </c>
      <c r="C90" s="46">
        <v>155066.6</v>
      </c>
      <c r="D90" s="47">
        <v>373372.1</v>
      </c>
      <c r="E90" s="123">
        <v>441553.8</v>
      </c>
      <c r="F90" s="123">
        <v>427691.9</v>
      </c>
      <c r="G90" s="109">
        <v>391119.7</v>
      </c>
      <c r="H90" s="123">
        <v>371625.4</v>
      </c>
      <c r="I90" s="125">
        <v>434607.5</v>
      </c>
      <c r="J90" s="128">
        <v>480746.98200000002</v>
      </c>
      <c r="K90" s="112">
        <v>546663.06863229431</v>
      </c>
      <c r="L90" s="112">
        <v>601734.08799999999</v>
      </c>
      <c r="M90" s="403">
        <v>831580.03</v>
      </c>
      <c r="N90" s="403">
        <v>814837.36600000004</v>
      </c>
      <c r="O90" s="403">
        <v>840922.99349999975</v>
      </c>
      <c r="P90" s="13"/>
    </row>
    <row r="91" spans="1:16" x14ac:dyDescent="0.2">
      <c r="A91" s="203" t="s">
        <v>62</v>
      </c>
      <c r="B91" s="55">
        <v>2036.3</v>
      </c>
      <c r="C91" s="55">
        <v>5038.8</v>
      </c>
      <c r="D91" s="56">
        <v>15947.9</v>
      </c>
      <c r="E91" s="116">
        <v>19990.099999999999</v>
      </c>
      <c r="F91" s="116">
        <v>21104</v>
      </c>
      <c r="G91" s="58">
        <v>20306.69455</v>
      </c>
      <c r="H91" s="116">
        <v>20276.151600000001</v>
      </c>
      <c r="I91" s="118">
        <v>20703.032999999999</v>
      </c>
      <c r="J91" s="117">
        <v>23580.341</v>
      </c>
      <c r="K91" s="61">
        <v>31505.086021311388</v>
      </c>
      <c r="L91" s="61">
        <v>27559.777999999998</v>
      </c>
      <c r="M91" s="250">
        <v>27770.83</v>
      </c>
      <c r="N91" s="250">
        <v>28434.667000000001</v>
      </c>
      <c r="O91" s="250">
        <v>25867.068700000003</v>
      </c>
      <c r="P91" s="13"/>
    </row>
    <row r="92" spans="1:16" x14ac:dyDescent="0.2">
      <c r="A92" s="203" t="s">
        <v>72</v>
      </c>
      <c r="B92" s="55">
        <v>7706.5</v>
      </c>
      <c r="C92" s="55">
        <v>21159.7</v>
      </c>
      <c r="D92" s="56">
        <v>48965.8</v>
      </c>
      <c r="E92" s="116">
        <v>58585.1</v>
      </c>
      <c r="F92" s="116">
        <v>70534.3</v>
      </c>
      <c r="G92" s="58">
        <v>65690.467000000004</v>
      </c>
      <c r="H92" s="116">
        <v>70018.865999999995</v>
      </c>
      <c r="I92" s="118">
        <v>91467.437999999995</v>
      </c>
      <c r="J92" s="117">
        <v>115985.564</v>
      </c>
      <c r="K92" s="61">
        <v>151127.36836121354</v>
      </c>
      <c r="L92" s="61">
        <v>165442.29999999999</v>
      </c>
      <c r="M92" s="250">
        <v>197693.56700000004</v>
      </c>
      <c r="N92" s="250">
        <v>114877.67600000004</v>
      </c>
      <c r="O92" s="250">
        <v>116827.84849999999</v>
      </c>
      <c r="P92" s="13"/>
    </row>
    <row r="93" spans="1:16" x14ac:dyDescent="0.2">
      <c r="A93" s="203" t="s">
        <v>66</v>
      </c>
      <c r="B93" s="55">
        <v>2715.6</v>
      </c>
      <c r="C93" s="55">
        <v>7144.8</v>
      </c>
      <c r="D93" s="56">
        <v>17618.3</v>
      </c>
      <c r="E93" s="116">
        <v>20437.2</v>
      </c>
      <c r="F93" s="116">
        <v>22997.8</v>
      </c>
      <c r="G93" s="58">
        <v>24968.326000000001</v>
      </c>
      <c r="H93" s="116">
        <v>24379.476999999999</v>
      </c>
      <c r="I93" s="118">
        <v>25560.888999999999</v>
      </c>
      <c r="J93" s="117">
        <v>28749.866000000002</v>
      </c>
      <c r="K93" s="61">
        <v>30516.904593149498</v>
      </c>
      <c r="L93" s="61">
        <v>29594.973000000002</v>
      </c>
      <c r="M93" s="250">
        <v>31565.37</v>
      </c>
      <c r="N93" s="250">
        <v>44526.917999999998</v>
      </c>
      <c r="O93" s="250">
        <v>45338.606199999987</v>
      </c>
      <c r="P93" s="13"/>
    </row>
    <row r="94" spans="1:16" x14ac:dyDescent="0.2">
      <c r="A94" s="203" t="s">
        <v>73</v>
      </c>
      <c r="B94" s="55">
        <v>1508.5</v>
      </c>
      <c r="C94" s="55">
        <v>4054.6</v>
      </c>
      <c r="D94" s="56">
        <v>16825.900000000001</v>
      </c>
      <c r="E94" s="116">
        <v>17183.8</v>
      </c>
      <c r="F94" s="116">
        <v>16615.099999999999</v>
      </c>
      <c r="G94" s="58">
        <v>17985.471000000001</v>
      </c>
      <c r="H94" s="116">
        <v>16435.311000000002</v>
      </c>
      <c r="I94" s="118">
        <v>17306.406999999999</v>
      </c>
      <c r="J94" s="117">
        <v>22988.784</v>
      </c>
      <c r="K94" s="61">
        <v>23113.740141910941</v>
      </c>
      <c r="L94" s="61">
        <v>23437.396000000001</v>
      </c>
      <c r="M94" s="250">
        <v>23868.180000000004</v>
      </c>
      <c r="N94" s="250">
        <v>24033.057000000001</v>
      </c>
      <c r="O94" s="250">
        <v>29261.8416</v>
      </c>
      <c r="P94" s="13"/>
    </row>
    <row r="95" spans="1:16" x14ac:dyDescent="0.2">
      <c r="A95" s="203" t="s">
        <v>74</v>
      </c>
      <c r="B95" s="55">
        <v>4507.3</v>
      </c>
      <c r="C95" s="55">
        <v>14058.7</v>
      </c>
      <c r="D95" s="56">
        <v>96166.1</v>
      </c>
      <c r="E95" s="116">
        <v>123825.9</v>
      </c>
      <c r="F95" s="116">
        <v>86178.2</v>
      </c>
      <c r="G95" s="58">
        <v>62685.55</v>
      </c>
      <c r="H95" s="116">
        <v>54269.650999999998</v>
      </c>
      <c r="I95" s="118">
        <v>62960.18</v>
      </c>
      <c r="J95" s="117">
        <v>66936.601999999999</v>
      </c>
      <c r="K95" s="61">
        <v>72270.181574660543</v>
      </c>
      <c r="L95" s="61">
        <v>71887.281000000003</v>
      </c>
      <c r="M95" s="250">
        <v>96894.974999999991</v>
      </c>
      <c r="N95" s="250">
        <v>106000.109</v>
      </c>
      <c r="O95" s="250">
        <v>102534.6045</v>
      </c>
      <c r="P95" s="13"/>
    </row>
    <row r="96" spans="1:16" x14ac:dyDescent="0.2">
      <c r="A96" s="203" t="s">
        <v>75</v>
      </c>
      <c r="B96" s="55">
        <v>5459.1</v>
      </c>
      <c r="C96" s="55">
        <v>23505.7</v>
      </c>
      <c r="D96" s="56">
        <v>70828.100000000006</v>
      </c>
      <c r="E96" s="116">
        <v>67149.5</v>
      </c>
      <c r="F96" s="116">
        <v>69609.8</v>
      </c>
      <c r="G96" s="58">
        <v>61327.8</v>
      </c>
      <c r="H96" s="116">
        <v>56177.190999999999</v>
      </c>
      <c r="I96" s="118">
        <v>59322.991000000002</v>
      </c>
      <c r="J96" s="117">
        <v>59775.078000000001</v>
      </c>
      <c r="K96" s="61">
        <v>58097.451600694141</v>
      </c>
      <c r="L96" s="61">
        <v>70824.311000000002</v>
      </c>
      <c r="M96" s="250">
        <v>85794.613000000012</v>
      </c>
      <c r="N96" s="250">
        <v>101782.826</v>
      </c>
      <c r="O96" s="250">
        <v>115705.02650000002</v>
      </c>
      <c r="P96" s="13"/>
    </row>
    <row r="97" spans="1:16" x14ac:dyDescent="0.2">
      <c r="A97" s="203" t="s">
        <v>76</v>
      </c>
      <c r="B97" s="55">
        <v>2050.4</v>
      </c>
      <c r="C97" s="55">
        <v>13696.6</v>
      </c>
      <c r="D97" s="56">
        <v>31135.200000000001</v>
      </c>
      <c r="E97" s="116">
        <v>34335.800000000003</v>
      </c>
      <c r="F97" s="116">
        <v>38492.5</v>
      </c>
      <c r="G97" s="58">
        <v>33463.5</v>
      </c>
      <c r="H97" s="116">
        <v>31658.855</v>
      </c>
      <c r="I97" s="118">
        <v>50477.858</v>
      </c>
      <c r="J97" s="117">
        <v>52830.618999999999</v>
      </c>
      <c r="K97" s="61">
        <v>82527.399479483516</v>
      </c>
      <c r="L97" s="61">
        <v>110181.98</v>
      </c>
      <c r="M97" s="250">
        <v>247162.04</v>
      </c>
      <c r="N97" s="250">
        <v>266353.26500000001</v>
      </c>
      <c r="O97" s="250">
        <v>264594.1875</v>
      </c>
      <c r="P97" s="13"/>
    </row>
    <row r="98" spans="1:16" x14ac:dyDescent="0.2">
      <c r="A98" s="203" t="s">
        <v>77</v>
      </c>
      <c r="B98" s="55">
        <v>1077.4000000000001</v>
      </c>
      <c r="C98" s="55">
        <v>2358.6999999999998</v>
      </c>
      <c r="D98" s="56">
        <v>6992.7</v>
      </c>
      <c r="E98" s="116">
        <v>8946.2999999999993</v>
      </c>
      <c r="F98" s="116">
        <v>12716.2</v>
      </c>
      <c r="G98" s="58">
        <v>19480.1751</v>
      </c>
      <c r="H98" s="116">
        <v>19155.616000000002</v>
      </c>
      <c r="I98" s="118">
        <v>19995.312999999998</v>
      </c>
      <c r="J98" s="117">
        <v>14666.427</v>
      </c>
      <c r="K98" s="61">
        <v>14139.854407439601</v>
      </c>
      <c r="L98" s="61">
        <v>14697.512000000001</v>
      </c>
      <c r="M98" s="250">
        <v>22426.38</v>
      </c>
      <c r="N98" s="250">
        <v>26967.304</v>
      </c>
      <c r="O98" s="250">
        <v>22841.944500000005</v>
      </c>
      <c r="P98" s="13"/>
    </row>
    <row r="99" spans="1:16" x14ac:dyDescent="0.2">
      <c r="A99" s="203" t="s">
        <v>78</v>
      </c>
      <c r="B99" s="55">
        <v>4141.6000000000004</v>
      </c>
      <c r="C99" s="55">
        <v>57702.9</v>
      </c>
      <c r="D99" s="56">
        <v>55726</v>
      </c>
      <c r="E99" s="116">
        <v>77047.7</v>
      </c>
      <c r="F99" s="116">
        <v>77259.899999999994</v>
      </c>
      <c r="G99" s="58">
        <v>75081.899999999994</v>
      </c>
      <c r="H99" s="116">
        <v>71836.5</v>
      </c>
      <c r="I99" s="118">
        <v>78574.06</v>
      </c>
      <c r="J99" s="117">
        <v>86085.657000000007</v>
      </c>
      <c r="K99" s="61">
        <v>69539.532369169028</v>
      </c>
      <c r="L99" s="61">
        <v>70895.259000000005</v>
      </c>
      <c r="M99" s="250">
        <v>78412.968999999997</v>
      </c>
      <c r="N99" s="250">
        <v>82040.736999999979</v>
      </c>
      <c r="O99" s="250">
        <v>92358.789000000004</v>
      </c>
      <c r="P99" s="13"/>
    </row>
    <row r="100" spans="1:16" x14ac:dyDescent="0.2">
      <c r="A100" s="203" t="s">
        <v>79</v>
      </c>
      <c r="B100" s="55">
        <v>501.1</v>
      </c>
      <c r="C100" s="55">
        <v>4301.5</v>
      </c>
      <c r="D100" s="56">
        <v>11617.7</v>
      </c>
      <c r="E100" s="116">
        <v>12052</v>
      </c>
      <c r="F100" s="116">
        <v>9696.4</v>
      </c>
      <c r="G100" s="58">
        <v>8967.2000000000007</v>
      </c>
      <c r="H100" s="116">
        <v>6546.0110000000004</v>
      </c>
      <c r="I100" s="118">
        <v>5014.9179999999997</v>
      </c>
      <c r="J100" s="117">
        <v>4868.7380000000003</v>
      </c>
      <c r="K100" s="61">
        <v>9968.3988827650428</v>
      </c>
      <c r="L100" s="61">
        <v>11440.721</v>
      </c>
      <c r="M100" s="250">
        <v>10418.933999999999</v>
      </c>
      <c r="N100" s="250">
        <v>11580.428</v>
      </c>
      <c r="O100" s="250">
        <v>13599.0589</v>
      </c>
      <c r="P100" s="13"/>
    </row>
    <row r="101" spans="1:16" x14ac:dyDescent="0.2">
      <c r="A101" s="203" t="s">
        <v>80</v>
      </c>
      <c r="B101" s="129">
        <v>153.19999999999999</v>
      </c>
      <c r="C101" s="130">
        <v>2044.6</v>
      </c>
      <c r="D101" s="130">
        <v>1548.4</v>
      </c>
      <c r="E101" s="131">
        <v>2000.4</v>
      </c>
      <c r="F101" s="131">
        <v>2487.6999999999998</v>
      </c>
      <c r="G101" s="132">
        <v>1162.6110000000001</v>
      </c>
      <c r="H101" s="131">
        <v>871.78700000000003</v>
      </c>
      <c r="I101" s="118">
        <v>3224.462</v>
      </c>
      <c r="J101" s="117">
        <v>4279.3059999999996</v>
      </c>
      <c r="K101" s="61">
        <v>3857.1512004971305</v>
      </c>
      <c r="L101" s="61">
        <v>5772.5770000000002</v>
      </c>
      <c r="M101" s="250">
        <v>9572.1720000000005</v>
      </c>
      <c r="N101" s="228">
        <v>8240.3790000000008</v>
      </c>
      <c r="O101" s="228">
        <v>11994.017600000001</v>
      </c>
      <c r="P101" s="13"/>
    </row>
    <row r="102" spans="1:16" ht="15" x14ac:dyDescent="0.25">
      <c r="A102" s="498" t="s">
        <v>129</v>
      </c>
      <c r="B102" s="498"/>
      <c r="C102" s="498"/>
      <c r="D102" s="498"/>
      <c r="E102" s="498"/>
      <c r="F102" s="498"/>
      <c r="G102" s="498"/>
      <c r="H102" s="499"/>
      <c r="I102" s="499"/>
      <c r="J102" s="499"/>
      <c r="K102" s="44"/>
      <c r="L102" s="44"/>
      <c r="M102" s="44"/>
      <c r="N102" s="8"/>
      <c r="O102" s="8"/>
    </row>
    <row r="103" spans="1:16" x14ac:dyDescent="0.2">
      <c r="H103" s="8"/>
      <c r="I103" s="8"/>
      <c r="J103" s="8"/>
      <c r="K103" s="8"/>
      <c r="L103" s="8"/>
      <c r="M103" s="8"/>
    </row>
    <row r="104" spans="1:16" ht="11.25" customHeight="1" x14ac:dyDescent="0.2"/>
  </sheetData>
  <mergeCells count="3">
    <mergeCell ref="A102:J102"/>
    <mergeCell ref="A1:O1"/>
    <mergeCell ref="A2:O2"/>
  </mergeCells>
  <printOptions horizontalCentered="1"/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&amp;C&amp;7СТРОИТЕЛЬНЫЕ ОРГАНИЗАЦИИ&amp;R&amp;6&amp;UПродолжение таблицы 2.1.</oddHeader>
    <oddFooter>&amp;L&amp;P
&amp;C&amp;8&amp;K000000СТРОИТЕЛЬСТВО В РОССИИ. 2022&amp;R&amp;G</oddFooter>
    <evenHeader>&amp;C&amp;7СТРОИТЕЛЬНЫЕ ОРГАНИЗАЦИИ&amp;R&amp;6&amp;UПродолжение таблицы 2.1.</evenHeader>
    <evenFooter>&amp;L&amp;G&amp;C&amp;8СТРОИТЕЛЬСТВО В РОССИИ. 2022&amp;R&amp;P</evenFooter>
    <firstHeader xml:space="preserve">&amp;C&amp;7СТРОИТЕЛЬНЫЕ ОРГАНИЗАЦИИ&amp;R
</firstHeader>
    <firstFooter>&amp;L&amp;P&amp;C&amp;8СТРОИТЕЛЬСТВО В РОССИИ. 2022&amp;R&amp;G</firstFooter>
  </headerFooter>
  <rowBreaks count="2" manualBreakCount="2">
    <brk id="37" max="16383" man="1"/>
    <brk id="69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3"/>
  <sheetViews>
    <sheetView topLeftCell="A88" zoomScale="115" zoomScaleNormal="115" workbookViewId="0">
      <selection activeCell="D111" sqref="D111"/>
    </sheetView>
  </sheetViews>
  <sheetFormatPr defaultColWidth="9.140625" defaultRowHeight="11.25" x14ac:dyDescent="0.2"/>
  <cols>
    <col min="1" max="1" width="20.7109375" style="2" customWidth="1"/>
    <col min="2" max="43" width="9.7109375" style="2" customWidth="1"/>
    <col min="44" max="16384" width="9.140625" style="2"/>
  </cols>
  <sheetData>
    <row r="1" spans="1:43" ht="15" customHeight="1" x14ac:dyDescent="0.2">
      <c r="B1" s="500" t="s">
        <v>131</v>
      </c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43" ht="15" customHeight="1" x14ac:dyDescent="0.2">
      <c r="B2" s="502" t="s">
        <v>86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43" s="26" customFormat="1" ht="15" customHeight="1" x14ac:dyDescent="0.2">
      <c r="A3" s="512"/>
      <c r="B3" s="509">
        <v>2000</v>
      </c>
      <c r="C3" s="514"/>
      <c r="D3" s="514"/>
      <c r="E3" s="514">
        <v>2005</v>
      </c>
      <c r="F3" s="514"/>
      <c r="G3" s="514"/>
      <c r="H3" s="514">
        <v>2010</v>
      </c>
      <c r="I3" s="514"/>
      <c r="J3" s="514"/>
      <c r="K3" s="514">
        <v>2011</v>
      </c>
      <c r="L3" s="514"/>
      <c r="M3" s="514"/>
      <c r="N3" s="514">
        <v>2012</v>
      </c>
      <c r="O3" s="514"/>
      <c r="P3" s="514"/>
      <c r="Q3" s="507">
        <v>2013</v>
      </c>
      <c r="R3" s="508"/>
      <c r="S3" s="509"/>
      <c r="T3" s="507">
        <v>2014</v>
      </c>
      <c r="U3" s="508"/>
      <c r="V3" s="509"/>
      <c r="W3" s="507">
        <v>2015</v>
      </c>
      <c r="X3" s="508"/>
      <c r="Y3" s="508"/>
      <c r="Z3" s="507">
        <v>2016</v>
      </c>
      <c r="AA3" s="508"/>
      <c r="AB3" s="508"/>
      <c r="AC3" s="507">
        <v>2017</v>
      </c>
      <c r="AD3" s="508"/>
      <c r="AE3" s="509"/>
      <c r="AF3" s="507">
        <v>2018</v>
      </c>
      <c r="AG3" s="508"/>
      <c r="AH3" s="509"/>
      <c r="AI3" s="504">
        <v>2019</v>
      </c>
      <c r="AJ3" s="505"/>
      <c r="AK3" s="506"/>
      <c r="AL3" s="507">
        <v>2020</v>
      </c>
      <c r="AM3" s="508"/>
      <c r="AN3" s="509"/>
      <c r="AO3" s="507">
        <v>2021</v>
      </c>
      <c r="AP3" s="508"/>
      <c r="AQ3" s="509"/>
    </row>
    <row r="4" spans="1:43" s="26" customFormat="1" ht="25.5" customHeight="1" x14ac:dyDescent="0.2">
      <c r="A4" s="513"/>
      <c r="B4" s="487" t="s">
        <v>98</v>
      </c>
      <c r="C4" s="488" t="s">
        <v>89</v>
      </c>
      <c r="D4" s="488" t="s">
        <v>99</v>
      </c>
      <c r="E4" s="488" t="s">
        <v>98</v>
      </c>
      <c r="F4" s="488" t="s">
        <v>89</v>
      </c>
      <c r="G4" s="488" t="s">
        <v>99</v>
      </c>
      <c r="H4" s="488" t="s">
        <v>98</v>
      </c>
      <c r="I4" s="488" t="s">
        <v>89</v>
      </c>
      <c r="J4" s="486" t="s">
        <v>99</v>
      </c>
      <c r="K4" s="488" t="s">
        <v>98</v>
      </c>
      <c r="L4" s="488" t="s">
        <v>89</v>
      </c>
      <c r="M4" s="488" t="s">
        <v>99</v>
      </c>
      <c r="N4" s="488" t="s">
        <v>98</v>
      </c>
      <c r="O4" s="488" t="s">
        <v>89</v>
      </c>
      <c r="P4" s="488" t="s">
        <v>99</v>
      </c>
      <c r="Q4" s="488" t="s">
        <v>98</v>
      </c>
      <c r="R4" s="495" t="s">
        <v>89</v>
      </c>
      <c r="S4" s="488" t="s">
        <v>99</v>
      </c>
      <c r="T4" s="496" t="s">
        <v>98</v>
      </c>
      <c r="U4" s="495" t="s">
        <v>89</v>
      </c>
      <c r="V4" s="488" t="s">
        <v>99</v>
      </c>
      <c r="W4" s="496" t="s">
        <v>98</v>
      </c>
      <c r="X4" s="495" t="s">
        <v>89</v>
      </c>
      <c r="Y4" s="486" t="s">
        <v>99</v>
      </c>
      <c r="Z4" s="496" t="s">
        <v>98</v>
      </c>
      <c r="AA4" s="495" t="s">
        <v>89</v>
      </c>
      <c r="AB4" s="486" t="s">
        <v>99</v>
      </c>
      <c r="AC4" s="488" t="s">
        <v>98</v>
      </c>
      <c r="AD4" s="486" t="s">
        <v>89</v>
      </c>
      <c r="AE4" s="488" t="s">
        <v>99</v>
      </c>
      <c r="AF4" s="488" t="s">
        <v>98</v>
      </c>
      <c r="AG4" s="486" t="s">
        <v>89</v>
      </c>
      <c r="AH4" s="488" t="s">
        <v>99</v>
      </c>
      <c r="AI4" s="488" t="s">
        <v>98</v>
      </c>
      <c r="AJ4" s="486" t="s">
        <v>89</v>
      </c>
      <c r="AK4" s="488" t="s">
        <v>99</v>
      </c>
      <c r="AL4" s="488" t="s">
        <v>98</v>
      </c>
      <c r="AM4" s="486" t="s">
        <v>89</v>
      </c>
      <c r="AN4" s="488" t="s">
        <v>99</v>
      </c>
      <c r="AO4" s="488" t="s">
        <v>98</v>
      </c>
      <c r="AP4" s="486" t="s">
        <v>89</v>
      </c>
      <c r="AQ4" s="488" t="s">
        <v>99</v>
      </c>
    </row>
    <row r="5" spans="1:43" x14ac:dyDescent="0.2">
      <c r="A5" s="497" t="s">
        <v>1</v>
      </c>
      <c r="B5" s="174">
        <v>10.5</v>
      </c>
      <c r="C5" s="174">
        <v>63.9</v>
      </c>
      <c r="D5" s="174">
        <v>22.2</v>
      </c>
      <c r="E5" s="174">
        <v>5.4</v>
      </c>
      <c r="F5" s="174">
        <v>81.400000000000006</v>
      </c>
      <c r="G5" s="174">
        <v>7.5</v>
      </c>
      <c r="H5" s="174">
        <v>3.5</v>
      </c>
      <c r="I5" s="174">
        <v>89.2</v>
      </c>
      <c r="J5" s="176">
        <v>2.2999999999999998</v>
      </c>
      <c r="K5" s="175">
        <v>3.1</v>
      </c>
      <c r="L5" s="175">
        <v>88.6</v>
      </c>
      <c r="M5" s="175">
        <v>2.2000000000000002</v>
      </c>
      <c r="N5" s="256">
        <v>3.1</v>
      </c>
      <c r="O5" s="257">
        <v>88.5</v>
      </c>
      <c r="P5" s="136">
        <v>1.9</v>
      </c>
      <c r="Q5" s="258">
        <v>2.9</v>
      </c>
      <c r="R5" s="176">
        <v>88.05</v>
      </c>
      <c r="S5" s="137">
        <v>1.61</v>
      </c>
      <c r="T5" s="174">
        <v>2.5</v>
      </c>
      <c r="U5" s="176">
        <v>89.8</v>
      </c>
      <c r="V5" s="137">
        <v>1.8</v>
      </c>
      <c r="W5" s="174">
        <v>2.2000000000000002</v>
      </c>
      <c r="X5" s="176">
        <v>91.3</v>
      </c>
      <c r="Y5" s="138">
        <v>1.3</v>
      </c>
      <c r="Z5" s="174">
        <v>2.14</v>
      </c>
      <c r="AA5" s="174">
        <v>90.49</v>
      </c>
      <c r="AB5" s="174">
        <v>0.9</v>
      </c>
      <c r="AC5" s="177">
        <v>1.7614858643176963</v>
      </c>
      <c r="AD5" s="177">
        <v>90.767452060646931</v>
      </c>
      <c r="AE5" s="370">
        <v>1.0160441011832406</v>
      </c>
      <c r="AF5" s="140">
        <v>1.49</v>
      </c>
      <c r="AG5" s="141">
        <v>91.59</v>
      </c>
      <c r="AH5" s="137">
        <v>0.88</v>
      </c>
      <c r="AI5" s="137">
        <v>1.4290513115559478</v>
      </c>
      <c r="AJ5" s="137">
        <v>90.306061598050775</v>
      </c>
      <c r="AK5" s="137">
        <v>0.8405447425607383</v>
      </c>
      <c r="AL5" s="408">
        <v>1.45</v>
      </c>
      <c r="AM5" s="408">
        <v>92.25</v>
      </c>
      <c r="AN5" s="408">
        <v>0.78</v>
      </c>
      <c r="AO5" s="408">
        <v>1.3732852706988123</v>
      </c>
      <c r="AP5" s="408">
        <v>92.825419266024312</v>
      </c>
      <c r="AQ5" s="408">
        <v>0.81624957108788698</v>
      </c>
    </row>
    <row r="6" spans="1:43" ht="18.75" x14ac:dyDescent="0.2">
      <c r="A6" s="259" t="s">
        <v>102</v>
      </c>
      <c r="B6" s="260">
        <v>9.1999999999999993</v>
      </c>
      <c r="C6" s="260">
        <v>60</v>
      </c>
      <c r="D6" s="260">
        <v>26.3</v>
      </c>
      <c r="E6" s="260">
        <v>5.2</v>
      </c>
      <c r="F6" s="260">
        <v>80.900000000000006</v>
      </c>
      <c r="G6" s="260">
        <v>8.8000000000000007</v>
      </c>
      <c r="H6" s="260">
        <v>3.7</v>
      </c>
      <c r="I6" s="260">
        <v>86</v>
      </c>
      <c r="J6" s="261">
        <v>3.5</v>
      </c>
      <c r="K6" s="262">
        <v>3.5</v>
      </c>
      <c r="L6" s="262">
        <v>85.1</v>
      </c>
      <c r="M6" s="262">
        <v>3.6</v>
      </c>
      <c r="N6" s="256">
        <v>3.5</v>
      </c>
      <c r="O6" s="262">
        <v>83.7</v>
      </c>
      <c r="P6" s="262">
        <v>3.3</v>
      </c>
      <c r="Q6" s="258">
        <v>2.99</v>
      </c>
      <c r="R6" s="261">
        <v>85.25</v>
      </c>
      <c r="S6" s="263">
        <v>2.96</v>
      </c>
      <c r="T6" s="260">
        <v>2.8</v>
      </c>
      <c r="U6" s="261">
        <v>85.7</v>
      </c>
      <c r="V6" s="263">
        <v>3.8</v>
      </c>
      <c r="W6" s="260">
        <v>2.2999999999999998</v>
      </c>
      <c r="X6" s="261">
        <v>89.5</v>
      </c>
      <c r="Y6" s="264">
        <v>2.2000000000000002</v>
      </c>
      <c r="Z6" s="260">
        <v>2.17</v>
      </c>
      <c r="AA6" s="260">
        <v>87.68</v>
      </c>
      <c r="AB6" s="260">
        <v>1.28</v>
      </c>
      <c r="AC6" s="265">
        <v>1.9442615796841995</v>
      </c>
      <c r="AD6" s="265">
        <v>89.669081447395939</v>
      </c>
      <c r="AE6" s="370">
        <v>1.4414111835527617</v>
      </c>
      <c r="AF6" s="140">
        <v>1.76</v>
      </c>
      <c r="AG6" s="266">
        <v>90.4</v>
      </c>
      <c r="AH6" s="267">
        <v>1.43</v>
      </c>
      <c r="AI6" s="267">
        <v>1.4</v>
      </c>
      <c r="AJ6" s="267">
        <v>90.6</v>
      </c>
      <c r="AK6" s="267">
        <v>1.3</v>
      </c>
      <c r="AL6" s="267">
        <v>1.3</v>
      </c>
      <c r="AM6" s="267">
        <v>91.5</v>
      </c>
      <c r="AN6" s="267">
        <v>0.9</v>
      </c>
      <c r="AO6" s="267">
        <v>1.5203091305701042</v>
      </c>
      <c r="AP6" s="267">
        <v>91.44009335201396</v>
      </c>
      <c r="AQ6" s="267">
        <v>1.468407517494382</v>
      </c>
    </row>
    <row r="7" spans="1:43" x14ac:dyDescent="0.2">
      <c r="A7" s="208" t="s">
        <v>2</v>
      </c>
      <c r="B7" s="268">
        <v>7.1</v>
      </c>
      <c r="C7" s="268">
        <v>83.2</v>
      </c>
      <c r="D7" s="268">
        <v>7.2</v>
      </c>
      <c r="E7" s="268">
        <v>0.1</v>
      </c>
      <c r="F7" s="268">
        <v>95</v>
      </c>
      <c r="G7" s="268">
        <v>1.6</v>
      </c>
      <c r="H7" s="268">
        <v>0.2</v>
      </c>
      <c r="I7" s="268">
        <v>97.4</v>
      </c>
      <c r="J7" s="269">
        <v>0.4</v>
      </c>
      <c r="K7" s="270">
        <v>0.3</v>
      </c>
      <c r="L7" s="270">
        <v>97.1</v>
      </c>
      <c r="M7" s="271">
        <v>1</v>
      </c>
      <c r="N7" s="272">
        <v>1</v>
      </c>
      <c r="O7" s="271">
        <v>95</v>
      </c>
      <c r="P7" s="270">
        <v>0.6</v>
      </c>
      <c r="Q7" s="273">
        <v>1.27</v>
      </c>
      <c r="R7" s="269">
        <v>93.67</v>
      </c>
      <c r="S7" s="274">
        <v>0.62</v>
      </c>
      <c r="T7" s="268">
        <v>1.4</v>
      </c>
      <c r="U7" s="269">
        <v>95.1</v>
      </c>
      <c r="V7" s="274">
        <v>1</v>
      </c>
      <c r="W7" s="268">
        <v>7.0000000000000007E-2</v>
      </c>
      <c r="X7" s="269">
        <v>98.05</v>
      </c>
      <c r="Y7" s="275">
        <v>0.3</v>
      </c>
      <c r="Z7" s="268">
        <v>0.11</v>
      </c>
      <c r="AA7" s="268">
        <v>98.31</v>
      </c>
      <c r="AB7" s="268">
        <v>0.66</v>
      </c>
      <c r="AC7" s="276">
        <v>0.38544869611994276</v>
      </c>
      <c r="AD7" s="276">
        <v>98.176223187138106</v>
      </c>
      <c r="AE7" s="353">
        <v>0.76772441292422888</v>
      </c>
      <c r="AF7" s="149">
        <v>0.12</v>
      </c>
      <c r="AG7" s="277">
        <v>98.46</v>
      </c>
      <c r="AH7" s="278">
        <v>0.69</v>
      </c>
      <c r="AI7" s="278">
        <v>6.7487028319358267E-2</v>
      </c>
      <c r="AJ7" s="278">
        <v>97.198511675921594</v>
      </c>
      <c r="AK7" s="278">
        <v>1.6121710902772546</v>
      </c>
      <c r="AL7" s="278">
        <v>0.06</v>
      </c>
      <c r="AM7" s="278">
        <v>98.64</v>
      </c>
      <c r="AN7" s="278">
        <v>0.56000000000000005</v>
      </c>
      <c r="AO7" s="278">
        <v>0.21508039131715673</v>
      </c>
      <c r="AP7" s="278">
        <v>98.246156535320679</v>
      </c>
      <c r="AQ7" s="278">
        <v>0.56911834690857466</v>
      </c>
    </row>
    <row r="8" spans="1:43" x14ac:dyDescent="0.2">
      <c r="A8" s="208" t="s">
        <v>3</v>
      </c>
      <c r="B8" s="279">
        <v>25.8</v>
      </c>
      <c r="C8" s="279">
        <v>61.2</v>
      </c>
      <c r="D8" s="279">
        <v>11</v>
      </c>
      <c r="E8" s="279">
        <v>7.5</v>
      </c>
      <c r="F8" s="279">
        <v>73.5</v>
      </c>
      <c r="G8" s="279">
        <v>15.9</v>
      </c>
      <c r="H8" s="279">
        <v>8.6</v>
      </c>
      <c r="I8" s="279">
        <v>86.4</v>
      </c>
      <c r="J8" s="280">
        <v>3.1</v>
      </c>
      <c r="K8" s="281">
        <v>8.5</v>
      </c>
      <c r="L8" s="281">
        <v>87.5</v>
      </c>
      <c r="M8" s="281">
        <v>2.5</v>
      </c>
      <c r="N8" s="282">
        <v>11.4</v>
      </c>
      <c r="O8" s="283">
        <v>83</v>
      </c>
      <c r="P8" s="281">
        <v>3.1</v>
      </c>
      <c r="Q8" s="273">
        <v>9.7899999999999991</v>
      </c>
      <c r="R8" s="280">
        <v>87.57</v>
      </c>
      <c r="S8" s="274">
        <v>1.91</v>
      </c>
      <c r="T8" s="279">
        <v>4.9000000000000004</v>
      </c>
      <c r="U8" s="280">
        <v>90.7</v>
      </c>
      <c r="V8" s="274">
        <v>1.8</v>
      </c>
      <c r="W8" s="279">
        <v>5.66</v>
      </c>
      <c r="X8" s="280">
        <v>92.3</v>
      </c>
      <c r="Y8" s="284">
        <v>0.83</v>
      </c>
      <c r="Z8" s="279">
        <v>5.86</v>
      </c>
      <c r="AA8" s="279">
        <v>92.29</v>
      </c>
      <c r="AB8" s="279">
        <v>1.05</v>
      </c>
      <c r="AC8" s="285">
        <v>6.0045781022319309</v>
      </c>
      <c r="AD8" s="285">
        <v>92.713568252148633</v>
      </c>
      <c r="AE8" s="353">
        <v>1.0838006127765263</v>
      </c>
      <c r="AF8" s="149">
        <v>7.39</v>
      </c>
      <c r="AG8" s="286">
        <v>90.83</v>
      </c>
      <c r="AH8" s="287">
        <v>1.37</v>
      </c>
      <c r="AI8" s="287">
        <v>7.6768921255932625</v>
      </c>
      <c r="AJ8" s="287">
        <v>90.539361319976209</v>
      </c>
      <c r="AK8" s="287">
        <v>1.4647714678876733</v>
      </c>
      <c r="AL8" s="287">
        <v>5.58</v>
      </c>
      <c r="AM8" s="287">
        <v>81.150000000000006</v>
      </c>
      <c r="AN8" s="287">
        <v>1.33</v>
      </c>
      <c r="AO8" s="287">
        <v>4.2756248327135244</v>
      </c>
      <c r="AP8" s="287">
        <v>79.299100708807998</v>
      </c>
      <c r="AQ8" s="287">
        <v>0.8436794048622106</v>
      </c>
    </row>
    <row r="9" spans="1:43" x14ac:dyDescent="0.2">
      <c r="A9" s="208" t="s">
        <v>4</v>
      </c>
      <c r="B9" s="288">
        <v>20.8</v>
      </c>
      <c r="C9" s="288">
        <v>70.5</v>
      </c>
      <c r="D9" s="288">
        <v>5.2</v>
      </c>
      <c r="E9" s="288">
        <v>14</v>
      </c>
      <c r="F9" s="288">
        <v>75.400000000000006</v>
      </c>
      <c r="G9" s="288">
        <v>5.0999999999999996</v>
      </c>
      <c r="H9" s="288">
        <v>3.3</v>
      </c>
      <c r="I9" s="288">
        <v>92</v>
      </c>
      <c r="J9" s="289">
        <v>2.6</v>
      </c>
      <c r="K9" s="290">
        <v>3.6</v>
      </c>
      <c r="L9" s="290">
        <v>93.4</v>
      </c>
      <c r="M9" s="290">
        <v>0.7</v>
      </c>
      <c r="N9" s="282">
        <v>3.2</v>
      </c>
      <c r="O9" s="290">
        <v>93.1</v>
      </c>
      <c r="P9" s="290">
        <v>0.9</v>
      </c>
      <c r="Q9" s="273">
        <v>4.7</v>
      </c>
      <c r="R9" s="289">
        <v>92.53</v>
      </c>
      <c r="S9" s="274">
        <v>0.51</v>
      </c>
      <c r="T9" s="288">
        <v>5.6</v>
      </c>
      <c r="U9" s="289">
        <v>92.4</v>
      </c>
      <c r="V9" s="274">
        <v>0.2</v>
      </c>
      <c r="W9" s="288">
        <v>4.1500000000000004</v>
      </c>
      <c r="X9" s="289">
        <v>93.25</v>
      </c>
      <c r="Y9" s="291">
        <v>0.4</v>
      </c>
      <c r="Z9" s="288">
        <v>5.45</v>
      </c>
      <c r="AA9" s="288">
        <v>92.88</v>
      </c>
      <c r="AB9" s="288">
        <v>0.4</v>
      </c>
      <c r="AC9" s="292">
        <v>5.2194762894432563</v>
      </c>
      <c r="AD9" s="292">
        <v>93.349049064425245</v>
      </c>
      <c r="AE9" s="353">
        <v>0.361762980455756</v>
      </c>
      <c r="AF9" s="149">
        <v>4.3</v>
      </c>
      <c r="AG9" s="293">
        <v>94.36</v>
      </c>
      <c r="AH9" s="294">
        <v>0.44</v>
      </c>
      <c r="AI9" s="294">
        <v>5.074847172089286</v>
      </c>
      <c r="AJ9" s="294">
        <v>93.729402662146541</v>
      </c>
      <c r="AK9" s="294">
        <v>0.32855796322298797</v>
      </c>
      <c r="AL9" s="294">
        <v>3.11</v>
      </c>
      <c r="AM9" s="294">
        <v>95.53</v>
      </c>
      <c r="AN9" s="294">
        <v>0.39</v>
      </c>
      <c r="AO9" s="294">
        <v>4.5860100785023814</v>
      </c>
      <c r="AP9" s="294">
        <v>94.056595455210825</v>
      </c>
      <c r="AQ9" s="294">
        <v>0.13655593101925501</v>
      </c>
    </row>
    <row r="10" spans="1:43" x14ac:dyDescent="0.2">
      <c r="A10" s="208" t="s">
        <v>5</v>
      </c>
      <c r="B10" s="295">
        <v>8.8000000000000007</v>
      </c>
      <c r="C10" s="295">
        <v>79.099999999999994</v>
      </c>
      <c r="D10" s="295">
        <v>11.2</v>
      </c>
      <c r="E10" s="295">
        <v>6.5</v>
      </c>
      <c r="F10" s="295">
        <v>89</v>
      </c>
      <c r="G10" s="295">
        <v>3</v>
      </c>
      <c r="H10" s="295">
        <v>0.9</v>
      </c>
      <c r="I10" s="295">
        <v>92.3</v>
      </c>
      <c r="J10" s="296">
        <v>3.9</v>
      </c>
      <c r="K10" s="297">
        <v>0.7</v>
      </c>
      <c r="L10" s="297">
        <v>90.8</v>
      </c>
      <c r="M10" s="297">
        <v>4.4000000000000004</v>
      </c>
      <c r="N10" s="282">
        <v>1.9</v>
      </c>
      <c r="O10" s="297">
        <v>81.7</v>
      </c>
      <c r="P10" s="297">
        <v>2.6</v>
      </c>
      <c r="Q10" s="273">
        <v>2.42</v>
      </c>
      <c r="R10" s="296">
        <v>86.3</v>
      </c>
      <c r="S10" s="274">
        <v>3.6</v>
      </c>
      <c r="T10" s="295">
        <v>2.5</v>
      </c>
      <c r="U10" s="296">
        <v>87.1</v>
      </c>
      <c r="V10" s="274">
        <v>0.2</v>
      </c>
      <c r="W10" s="295">
        <v>1.27</v>
      </c>
      <c r="X10" s="296">
        <v>93.69</v>
      </c>
      <c r="Y10" s="298">
        <v>0.37</v>
      </c>
      <c r="Z10" s="295">
        <v>0.42</v>
      </c>
      <c r="AA10" s="295">
        <v>96.11</v>
      </c>
      <c r="AB10" s="295">
        <v>0.74</v>
      </c>
      <c r="AC10" s="299">
        <v>0.14503612617373635</v>
      </c>
      <c r="AD10" s="299">
        <v>92.152380237151377</v>
      </c>
      <c r="AE10" s="353">
        <v>4.3816395851190562</v>
      </c>
      <c r="AF10" s="152">
        <v>0.04</v>
      </c>
      <c r="AG10" s="300">
        <v>95.09</v>
      </c>
      <c r="AH10" s="301">
        <v>0.15</v>
      </c>
      <c r="AI10" s="301">
        <v>0.59703000066971168</v>
      </c>
      <c r="AJ10" s="301">
        <v>95.482965407022164</v>
      </c>
      <c r="AK10" s="301">
        <v>0.27198105585256005</v>
      </c>
      <c r="AL10" s="301">
        <v>0.5</v>
      </c>
      <c r="AM10" s="301">
        <v>98.06</v>
      </c>
      <c r="AN10" s="409">
        <v>0.01</v>
      </c>
      <c r="AO10" s="301">
        <v>0.11147764044252878</v>
      </c>
      <c r="AP10" s="301">
        <v>95.71673873921192</v>
      </c>
      <c r="AQ10" s="301">
        <v>0.48394707650246671</v>
      </c>
    </row>
    <row r="11" spans="1:43" x14ac:dyDescent="0.2">
      <c r="A11" s="208" t="s">
        <v>6</v>
      </c>
      <c r="B11" s="302">
        <v>17.8</v>
      </c>
      <c r="C11" s="302">
        <v>53.9</v>
      </c>
      <c r="D11" s="302">
        <v>27</v>
      </c>
      <c r="E11" s="302">
        <v>18</v>
      </c>
      <c r="F11" s="302">
        <v>70.900000000000006</v>
      </c>
      <c r="G11" s="302">
        <v>9.3000000000000007</v>
      </c>
      <c r="H11" s="302">
        <v>6.7</v>
      </c>
      <c r="I11" s="302">
        <v>74.599999999999994</v>
      </c>
      <c r="J11" s="303">
        <v>9.6999999999999993</v>
      </c>
      <c r="K11" s="304">
        <v>11.1</v>
      </c>
      <c r="L11" s="304">
        <v>74.400000000000006</v>
      </c>
      <c r="M11" s="304">
        <v>1.7</v>
      </c>
      <c r="N11" s="282">
        <v>10.5</v>
      </c>
      <c r="O11" s="304">
        <v>83.9</v>
      </c>
      <c r="P11" s="304">
        <v>2.1</v>
      </c>
      <c r="Q11" s="273">
        <v>12.62</v>
      </c>
      <c r="R11" s="303">
        <v>82.58</v>
      </c>
      <c r="S11" s="274">
        <v>1.95</v>
      </c>
      <c r="T11" s="302">
        <v>8.6</v>
      </c>
      <c r="U11" s="303">
        <v>89.1</v>
      </c>
      <c r="V11" s="274">
        <v>1.8</v>
      </c>
      <c r="W11" s="302">
        <v>4.87</v>
      </c>
      <c r="X11" s="303">
        <v>92.77</v>
      </c>
      <c r="Y11" s="305">
        <v>1.69</v>
      </c>
      <c r="Z11" s="302">
        <v>3.2</v>
      </c>
      <c r="AA11" s="302">
        <v>94.04</v>
      </c>
      <c r="AB11" s="302">
        <v>1.79</v>
      </c>
      <c r="AC11" s="306">
        <v>1.3063732128384919</v>
      </c>
      <c r="AD11" s="306">
        <v>96.937550739608255</v>
      </c>
      <c r="AE11" s="353">
        <v>1.2886347807215699</v>
      </c>
      <c r="AF11" s="149">
        <v>0.52</v>
      </c>
      <c r="AG11" s="307">
        <v>97.78</v>
      </c>
      <c r="AH11" s="308">
        <v>1.03</v>
      </c>
      <c r="AI11" s="308">
        <v>0.45773079393415944</v>
      </c>
      <c r="AJ11" s="308">
        <v>97.380609828701353</v>
      </c>
      <c r="AK11" s="308">
        <v>1.6569740893182483</v>
      </c>
      <c r="AL11" s="308">
        <v>0.51</v>
      </c>
      <c r="AM11" s="308">
        <v>96.92</v>
      </c>
      <c r="AN11" s="308">
        <v>2.17</v>
      </c>
      <c r="AO11" s="308">
        <v>0.38540882280087119</v>
      </c>
      <c r="AP11" s="308">
        <v>97.317569668776486</v>
      </c>
      <c r="AQ11" s="308">
        <v>1.7691611161564127</v>
      </c>
    </row>
    <row r="12" spans="1:43" x14ac:dyDescent="0.2">
      <c r="A12" s="208" t="s">
        <v>7</v>
      </c>
      <c r="B12" s="309">
        <v>4.9000000000000004</v>
      </c>
      <c r="C12" s="309">
        <v>75.099999999999994</v>
      </c>
      <c r="D12" s="309">
        <v>15.1</v>
      </c>
      <c r="E12" s="309">
        <v>4.9000000000000004</v>
      </c>
      <c r="F12" s="309">
        <v>87.7</v>
      </c>
      <c r="G12" s="309">
        <v>3.4</v>
      </c>
      <c r="H12" s="309">
        <v>1.3</v>
      </c>
      <c r="I12" s="309">
        <v>82.5</v>
      </c>
      <c r="J12" s="310">
        <v>1.2</v>
      </c>
      <c r="K12" s="311">
        <v>0.1</v>
      </c>
      <c r="L12" s="311">
        <v>85.9</v>
      </c>
      <c r="M12" s="311">
        <v>1.2</v>
      </c>
      <c r="N12" s="272">
        <v>1</v>
      </c>
      <c r="O12" s="311">
        <v>81.3</v>
      </c>
      <c r="P12" s="311">
        <v>1.2</v>
      </c>
      <c r="Q12" s="273">
        <v>0.36</v>
      </c>
      <c r="R12" s="310">
        <v>84.8</v>
      </c>
      <c r="S12" s="274">
        <v>0.65</v>
      </c>
      <c r="T12" s="309">
        <v>2</v>
      </c>
      <c r="U12" s="310">
        <v>89.4</v>
      </c>
      <c r="V12" s="274">
        <v>0.4</v>
      </c>
      <c r="W12" s="309">
        <v>1.23</v>
      </c>
      <c r="X12" s="310">
        <v>95.57</v>
      </c>
      <c r="Y12" s="312">
        <v>0.59</v>
      </c>
      <c r="Z12" s="309">
        <v>1.68</v>
      </c>
      <c r="AA12" s="309">
        <v>94.72</v>
      </c>
      <c r="AB12" s="309">
        <v>0.6</v>
      </c>
      <c r="AC12" s="313">
        <v>0.84122885857394891</v>
      </c>
      <c r="AD12" s="313">
        <v>96.76473181661909</v>
      </c>
      <c r="AE12" s="353">
        <v>0.43136570481052128</v>
      </c>
      <c r="AF12" s="149">
        <v>0.79</v>
      </c>
      <c r="AG12" s="314">
        <v>93.83</v>
      </c>
      <c r="AH12" s="315">
        <v>0.31</v>
      </c>
      <c r="AI12" s="315">
        <v>1.1490493674611004</v>
      </c>
      <c r="AJ12" s="315">
        <v>94.828273555076194</v>
      </c>
      <c r="AK12" s="315">
        <v>0.21336870028264243</v>
      </c>
      <c r="AL12" s="315">
        <v>0.59</v>
      </c>
      <c r="AM12" s="315">
        <v>94.06</v>
      </c>
      <c r="AN12" s="315">
        <v>0.18</v>
      </c>
      <c r="AO12" s="315">
        <v>1.100949494918908</v>
      </c>
      <c r="AP12" s="315">
        <v>96.539744829535024</v>
      </c>
      <c r="AQ12" s="315">
        <v>0.21770305863065931</v>
      </c>
    </row>
    <row r="13" spans="1:43" s="22" customFormat="1" x14ac:dyDescent="0.2">
      <c r="A13" s="316" t="s">
        <v>8</v>
      </c>
      <c r="B13" s="317">
        <v>39</v>
      </c>
      <c r="C13" s="317">
        <v>48.4</v>
      </c>
      <c r="D13" s="317">
        <v>10.7</v>
      </c>
      <c r="E13" s="318">
        <v>16</v>
      </c>
      <c r="F13" s="318">
        <v>76.599999999999994</v>
      </c>
      <c r="G13" s="318">
        <v>4.5999999999999996</v>
      </c>
      <c r="H13" s="318">
        <v>3.4</v>
      </c>
      <c r="I13" s="318">
        <v>94.5</v>
      </c>
      <c r="J13" s="319">
        <v>1</v>
      </c>
      <c r="K13" s="320">
        <v>5.0999999999999996</v>
      </c>
      <c r="L13" s="320">
        <v>91.2</v>
      </c>
      <c r="M13" s="320">
        <v>2.2000000000000002</v>
      </c>
      <c r="N13" s="321">
        <v>4.9000000000000004</v>
      </c>
      <c r="O13" s="320">
        <v>92.9</v>
      </c>
      <c r="P13" s="320">
        <v>1.8</v>
      </c>
      <c r="Q13" s="322">
        <v>7.23</v>
      </c>
      <c r="R13" s="319">
        <v>92.28</v>
      </c>
      <c r="S13" s="323">
        <v>0.15</v>
      </c>
      <c r="T13" s="318">
        <v>6.5</v>
      </c>
      <c r="U13" s="319">
        <v>93.2</v>
      </c>
      <c r="V13" s="323">
        <v>0.1</v>
      </c>
      <c r="W13" s="318">
        <v>4.46</v>
      </c>
      <c r="X13" s="319">
        <v>94.73</v>
      </c>
      <c r="Y13" s="324">
        <v>0.66</v>
      </c>
      <c r="Z13" s="318">
        <v>6.86</v>
      </c>
      <c r="AA13" s="318">
        <v>92.01</v>
      </c>
      <c r="AB13" s="318">
        <v>0.82</v>
      </c>
      <c r="AC13" s="325">
        <v>2.4366706911022478</v>
      </c>
      <c r="AD13" s="325">
        <v>95.751250116382849</v>
      </c>
      <c r="AE13" s="418">
        <v>1.4457875807836824</v>
      </c>
      <c r="AF13" s="156">
        <v>2.97</v>
      </c>
      <c r="AG13" s="326">
        <v>95.63</v>
      </c>
      <c r="AH13" s="327">
        <v>1.01</v>
      </c>
      <c r="AI13" s="327">
        <v>2.934974087380064</v>
      </c>
      <c r="AJ13" s="327">
        <v>96.060025409917174</v>
      </c>
      <c r="AK13" s="327">
        <v>0.66119310981140778</v>
      </c>
      <c r="AL13" s="410">
        <v>1.84</v>
      </c>
      <c r="AM13" s="410">
        <v>97.37</v>
      </c>
      <c r="AN13" s="410">
        <v>0.63</v>
      </c>
      <c r="AO13" s="410">
        <v>1.9750150112812708</v>
      </c>
      <c r="AP13" s="410">
        <v>96.101378556950451</v>
      </c>
      <c r="AQ13" s="410">
        <v>1.7258196001522466</v>
      </c>
    </row>
    <row r="14" spans="1:43" x14ac:dyDescent="0.2">
      <c r="A14" s="208" t="s">
        <v>9</v>
      </c>
      <c r="B14" s="328">
        <v>12.4</v>
      </c>
      <c r="C14" s="328">
        <v>57.1</v>
      </c>
      <c r="D14" s="328">
        <v>29.6</v>
      </c>
      <c r="E14" s="328">
        <v>10.5</v>
      </c>
      <c r="F14" s="328">
        <v>78.099999999999994</v>
      </c>
      <c r="G14" s="328">
        <v>9.6</v>
      </c>
      <c r="H14" s="328">
        <v>7.4</v>
      </c>
      <c r="I14" s="328">
        <v>87.6</v>
      </c>
      <c r="J14" s="329">
        <v>3.3</v>
      </c>
      <c r="K14" s="145">
        <v>8.1999999999999993</v>
      </c>
      <c r="L14" s="145">
        <v>86.6</v>
      </c>
      <c r="M14" s="145">
        <v>4.5999999999999996</v>
      </c>
      <c r="N14" s="282">
        <v>7.1</v>
      </c>
      <c r="O14" s="145">
        <v>89.7</v>
      </c>
      <c r="P14" s="145">
        <v>2.7</v>
      </c>
      <c r="Q14" s="273">
        <v>6.88</v>
      </c>
      <c r="R14" s="329">
        <v>90.74</v>
      </c>
      <c r="S14" s="274">
        <v>2.0299999999999998</v>
      </c>
      <c r="T14" s="328">
        <v>8.1999999999999993</v>
      </c>
      <c r="U14" s="329">
        <v>88.1</v>
      </c>
      <c r="V14" s="274">
        <v>2.6</v>
      </c>
      <c r="W14" s="328">
        <v>7.65</v>
      </c>
      <c r="X14" s="329">
        <v>88.36</v>
      </c>
      <c r="Y14" s="147">
        <v>2.13</v>
      </c>
      <c r="Z14" s="328">
        <v>7.26</v>
      </c>
      <c r="AA14" s="328">
        <v>90.31</v>
      </c>
      <c r="AB14" s="328">
        <v>2.15</v>
      </c>
      <c r="AC14" s="148">
        <v>7.0564314254545968</v>
      </c>
      <c r="AD14" s="148">
        <v>89.16479148102529</v>
      </c>
      <c r="AE14" s="353">
        <v>1.7303342706592888</v>
      </c>
      <c r="AF14" s="149">
        <v>5.16</v>
      </c>
      <c r="AG14" s="150">
        <v>90.91</v>
      </c>
      <c r="AH14" s="151">
        <v>2.0099999999999998</v>
      </c>
      <c r="AI14" s="151">
        <v>4.2520233904533171</v>
      </c>
      <c r="AJ14" s="151">
        <v>91.489103283791522</v>
      </c>
      <c r="AK14" s="151">
        <v>1.6113006807642141</v>
      </c>
      <c r="AL14" s="151">
        <v>3.49</v>
      </c>
      <c r="AM14" s="151">
        <v>91.15</v>
      </c>
      <c r="AN14" s="151">
        <v>1.06</v>
      </c>
      <c r="AO14" s="151">
        <v>1.4412124220887481</v>
      </c>
      <c r="AP14" s="151">
        <v>93.868740314992678</v>
      </c>
      <c r="AQ14" s="151">
        <v>0.58433687939578005</v>
      </c>
    </row>
    <row r="15" spans="1:43" s="22" customFormat="1" x14ac:dyDescent="0.2">
      <c r="A15" s="316" t="s">
        <v>10</v>
      </c>
      <c r="B15" s="328">
        <v>8.9</v>
      </c>
      <c r="C15" s="328">
        <v>75.900000000000006</v>
      </c>
      <c r="D15" s="328">
        <v>11.8</v>
      </c>
      <c r="E15" s="330">
        <v>2.8</v>
      </c>
      <c r="F15" s="330">
        <v>90.6</v>
      </c>
      <c r="G15" s="330">
        <v>2.7</v>
      </c>
      <c r="H15" s="330">
        <v>0.7</v>
      </c>
      <c r="I15" s="330">
        <v>96.6</v>
      </c>
      <c r="J15" s="331">
        <v>0.2</v>
      </c>
      <c r="K15" s="153">
        <v>0.8</v>
      </c>
      <c r="L15" s="159">
        <v>96</v>
      </c>
      <c r="M15" s="153">
        <v>0.8</v>
      </c>
      <c r="N15" s="321">
        <v>1.3</v>
      </c>
      <c r="O15" s="153">
        <v>93.8</v>
      </c>
      <c r="P15" s="153">
        <v>0.9</v>
      </c>
      <c r="Q15" s="322">
        <v>1.67</v>
      </c>
      <c r="R15" s="331">
        <v>95.96</v>
      </c>
      <c r="S15" s="332" t="s">
        <v>118</v>
      </c>
      <c r="T15" s="330">
        <v>1.4</v>
      </c>
      <c r="U15" s="331">
        <v>95.8</v>
      </c>
      <c r="V15" s="332" t="s">
        <v>118</v>
      </c>
      <c r="W15" s="330">
        <v>1.06</v>
      </c>
      <c r="X15" s="331">
        <v>97.85</v>
      </c>
      <c r="Y15" s="160" t="s">
        <v>90</v>
      </c>
      <c r="Z15" s="330">
        <v>1.1299999999999999</v>
      </c>
      <c r="AA15" s="330">
        <v>97.89</v>
      </c>
      <c r="AB15" s="330" t="s">
        <v>90</v>
      </c>
      <c r="AC15" s="155">
        <v>1.4255992024301152</v>
      </c>
      <c r="AD15" s="155">
        <v>97.510906973811615</v>
      </c>
      <c r="AE15" s="419">
        <v>0</v>
      </c>
      <c r="AF15" s="156">
        <v>1.4</v>
      </c>
      <c r="AG15" s="157">
        <v>97.57</v>
      </c>
      <c r="AH15" s="162">
        <v>0.01</v>
      </c>
      <c r="AI15" s="158">
        <v>1.4578736382997655</v>
      </c>
      <c r="AJ15" s="158">
        <v>97.732920563430099</v>
      </c>
      <c r="AK15" s="158">
        <v>0.10059482194048547</v>
      </c>
      <c r="AL15" s="151">
        <v>1.54</v>
      </c>
      <c r="AM15" s="151">
        <v>97.14</v>
      </c>
      <c r="AN15" s="151">
        <v>7.0000000000000007E-2</v>
      </c>
      <c r="AO15" s="151">
        <v>2.1342989078738737</v>
      </c>
      <c r="AP15" s="151">
        <v>95.903972864689948</v>
      </c>
      <c r="AQ15" s="411">
        <v>1.6489800666326552E-2</v>
      </c>
    </row>
    <row r="16" spans="1:43" s="22" customFormat="1" x14ac:dyDescent="0.2">
      <c r="A16" s="316" t="s">
        <v>11</v>
      </c>
      <c r="B16" s="328">
        <v>6.6</v>
      </c>
      <c r="C16" s="328">
        <v>61.4</v>
      </c>
      <c r="D16" s="328">
        <v>26.6</v>
      </c>
      <c r="E16" s="330">
        <v>5.0999999999999996</v>
      </c>
      <c r="F16" s="330">
        <v>91.7</v>
      </c>
      <c r="G16" s="330">
        <v>1.6</v>
      </c>
      <c r="H16" s="330">
        <v>4.5</v>
      </c>
      <c r="I16" s="330">
        <v>89.6</v>
      </c>
      <c r="J16" s="331">
        <v>2.4</v>
      </c>
      <c r="K16" s="153">
        <v>4.3</v>
      </c>
      <c r="L16" s="153">
        <v>90.2</v>
      </c>
      <c r="M16" s="153">
        <v>2.2000000000000002</v>
      </c>
      <c r="N16" s="321">
        <v>4.8</v>
      </c>
      <c r="O16" s="153">
        <v>88.5</v>
      </c>
      <c r="P16" s="153">
        <v>1.6</v>
      </c>
      <c r="Q16" s="322">
        <v>4.62</v>
      </c>
      <c r="R16" s="331">
        <v>89.74</v>
      </c>
      <c r="S16" s="323">
        <v>1.29</v>
      </c>
      <c r="T16" s="330">
        <v>2.2999999999999998</v>
      </c>
      <c r="U16" s="331">
        <v>90.3</v>
      </c>
      <c r="V16" s="323">
        <v>0.8</v>
      </c>
      <c r="W16" s="330">
        <v>2.42</v>
      </c>
      <c r="X16" s="331">
        <v>89.4</v>
      </c>
      <c r="Y16" s="154">
        <v>0.65</v>
      </c>
      <c r="Z16" s="330">
        <v>2.52</v>
      </c>
      <c r="AA16" s="330">
        <v>88.3</v>
      </c>
      <c r="AB16" s="330">
        <v>0.42</v>
      </c>
      <c r="AC16" s="155">
        <v>1.4935482032149547</v>
      </c>
      <c r="AD16" s="155">
        <v>89.628953591323864</v>
      </c>
      <c r="AE16" s="418">
        <v>0.38019684138367332</v>
      </c>
      <c r="AF16" s="156">
        <v>0.81</v>
      </c>
      <c r="AG16" s="157">
        <v>93.66</v>
      </c>
      <c r="AH16" s="158">
        <v>0.27</v>
      </c>
      <c r="AI16" s="158">
        <v>1.0024658395044115</v>
      </c>
      <c r="AJ16" s="158">
        <v>89.593417611054946</v>
      </c>
      <c r="AK16" s="158">
        <v>0.11803776851749481</v>
      </c>
      <c r="AL16" s="151">
        <v>0.34</v>
      </c>
      <c r="AM16" s="151">
        <v>92.89</v>
      </c>
      <c r="AN16" s="151">
        <v>0.09</v>
      </c>
      <c r="AO16" s="151">
        <v>0.40911201021305116</v>
      </c>
      <c r="AP16" s="151">
        <v>96.448092187367308</v>
      </c>
      <c r="AQ16" s="151">
        <v>0.40556199173703783</v>
      </c>
    </row>
    <row r="17" spans="1:43" s="22" customFormat="1" x14ac:dyDescent="0.2">
      <c r="A17" s="316" t="s">
        <v>12</v>
      </c>
      <c r="B17" s="328">
        <v>16.3</v>
      </c>
      <c r="C17" s="328">
        <v>65.5</v>
      </c>
      <c r="D17" s="328">
        <v>18</v>
      </c>
      <c r="E17" s="330">
        <v>2.9</v>
      </c>
      <c r="F17" s="330">
        <v>81</v>
      </c>
      <c r="G17" s="330">
        <v>14</v>
      </c>
      <c r="H17" s="330">
        <v>2</v>
      </c>
      <c r="I17" s="330">
        <v>96.5</v>
      </c>
      <c r="J17" s="333">
        <v>0.04</v>
      </c>
      <c r="K17" s="153">
        <v>2.6</v>
      </c>
      <c r="L17" s="153">
        <v>94.6</v>
      </c>
      <c r="M17" s="159">
        <v>0</v>
      </c>
      <c r="N17" s="321">
        <v>0.1</v>
      </c>
      <c r="O17" s="153">
        <v>95.5</v>
      </c>
      <c r="P17" s="153">
        <v>0.3</v>
      </c>
      <c r="Q17" s="322">
        <v>7.0000000000000007E-2</v>
      </c>
      <c r="R17" s="331">
        <v>90.99</v>
      </c>
      <c r="S17" s="323">
        <v>5.33</v>
      </c>
      <c r="T17" s="330">
        <v>0.2</v>
      </c>
      <c r="U17" s="331">
        <v>89.4</v>
      </c>
      <c r="V17" s="323">
        <v>7.5</v>
      </c>
      <c r="W17" s="330">
        <v>0.05</v>
      </c>
      <c r="X17" s="331">
        <v>93.32</v>
      </c>
      <c r="Y17" s="154">
        <v>4.07</v>
      </c>
      <c r="Z17" s="330">
        <v>0.09</v>
      </c>
      <c r="AA17" s="330">
        <v>92.09</v>
      </c>
      <c r="AB17" s="330">
        <v>4.95</v>
      </c>
      <c r="AC17" s="155">
        <v>7.398040945989752E-2</v>
      </c>
      <c r="AD17" s="155">
        <v>94.022632737985063</v>
      </c>
      <c r="AE17" s="418">
        <v>4.2576420904470185</v>
      </c>
      <c r="AF17" s="156">
        <v>0.05</v>
      </c>
      <c r="AG17" s="157">
        <v>93.14</v>
      </c>
      <c r="AH17" s="158">
        <v>5.74</v>
      </c>
      <c r="AI17" s="162">
        <v>4.5760839820928892E-2</v>
      </c>
      <c r="AJ17" s="158">
        <v>94.588514295600518</v>
      </c>
      <c r="AK17" s="158">
        <v>4.1153713354513757</v>
      </c>
      <c r="AL17" s="151">
        <v>0.41</v>
      </c>
      <c r="AM17" s="151">
        <v>96.45</v>
      </c>
      <c r="AN17" s="151">
        <v>2.29</v>
      </c>
      <c r="AO17" s="151">
        <v>3.9228051849565917</v>
      </c>
      <c r="AP17" s="151">
        <v>88.550622392450904</v>
      </c>
      <c r="AQ17" s="151">
        <v>5.9267441856193042</v>
      </c>
    </row>
    <row r="18" spans="1:43" s="22" customFormat="1" x14ac:dyDescent="0.2">
      <c r="A18" s="316" t="s">
        <v>13</v>
      </c>
      <c r="B18" s="328">
        <v>9.1999999999999993</v>
      </c>
      <c r="C18" s="328">
        <v>64.5</v>
      </c>
      <c r="D18" s="328">
        <v>25.1</v>
      </c>
      <c r="E18" s="330">
        <v>6.3</v>
      </c>
      <c r="F18" s="330">
        <v>88.1</v>
      </c>
      <c r="G18" s="330">
        <v>4.5999999999999996</v>
      </c>
      <c r="H18" s="330">
        <v>7.3</v>
      </c>
      <c r="I18" s="330">
        <v>88.1</v>
      </c>
      <c r="J18" s="331">
        <v>2.5</v>
      </c>
      <c r="K18" s="153">
        <v>6.5</v>
      </c>
      <c r="L18" s="153">
        <v>87.4</v>
      </c>
      <c r="M18" s="153">
        <v>2.2000000000000002</v>
      </c>
      <c r="N18" s="321">
        <v>4.4000000000000004</v>
      </c>
      <c r="O18" s="153">
        <v>90.2</v>
      </c>
      <c r="P18" s="153">
        <v>1.8</v>
      </c>
      <c r="Q18" s="322">
        <v>5.19</v>
      </c>
      <c r="R18" s="331">
        <v>89.51</v>
      </c>
      <c r="S18" s="323">
        <v>1.63</v>
      </c>
      <c r="T18" s="330">
        <v>3.7</v>
      </c>
      <c r="U18" s="331">
        <v>90.6</v>
      </c>
      <c r="V18" s="323">
        <v>2.6</v>
      </c>
      <c r="W18" s="330">
        <v>3.76</v>
      </c>
      <c r="X18" s="331">
        <v>93.53</v>
      </c>
      <c r="Y18" s="154">
        <v>1.89</v>
      </c>
      <c r="Z18" s="330">
        <v>1.59</v>
      </c>
      <c r="AA18" s="330">
        <v>95.39</v>
      </c>
      <c r="AB18" s="330">
        <v>1.94</v>
      </c>
      <c r="AC18" s="155">
        <v>2.2082408245843022</v>
      </c>
      <c r="AD18" s="155">
        <v>95.424048069844844</v>
      </c>
      <c r="AE18" s="418">
        <v>1.5330939769907264</v>
      </c>
      <c r="AF18" s="156">
        <v>0.9</v>
      </c>
      <c r="AG18" s="157">
        <v>95.84</v>
      </c>
      <c r="AH18" s="158">
        <v>1.76</v>
      </c>
      <c r="AI18" s="158">
        <v>1.8907310663601975</v>
      </c>
      <c r="AJ18" s="158">
        <v>95.761709711998066</v>
      </c>
      <c r="AK18" s="158">
        <v>1.5694068001589199</v>
      </c>
      <c r="AL18" s="151">
        <v>3.16</v>
      </c>
      <c r="AM18" s="151">
        <v>93.22</v>
      </c>
      <c r="AN18" s="151">
        <v>1.87</v>
      </c>
      <c r="AO18" s="151">
        <v>2.8804111120777249</v>
      </c>
      <c r="AP18" s="151">
        <v>93.657196432874457</v>
      </c>
      <c r="AQ18" s="151">
        <v>2.7585805077045373</v>
      </c>
    </row>
    <row r="19" spans="1:43" s="22" customFormat="1" x14ac:dyDescent="0.2">
      <c r="A19" s="316" t="s">
        <v>14</v>
      </c>
      <c r="B19" s="328">
        <v>6.4</v>
      </c>
      <c r="C19" s="328">
        <v>71.099999999999994</v>
      </c>
      <c r="D19" s="328">
        <v>19.3</v>
      </c>
      <c r="E19" s="330">
        <v>4.4000000000000004</v>
      </c>
      <c r="F19" s="330">
        <v>78</v>
      </c>
      <c r="G19" s="330">
        <v>14.3</v>
      </c>
      <c r="H19" s="330">
        <v>2.2000000000000002</v>
      </c>
      <c r="I19" s="330">
        <v>90.2</v>
      </c>
      <c r="J19" s="331">
        <v>2.1</v>
      </c>
      <c r="K19" s="153">
        <v>1.7</v>
      </c>
      <c r="L19" s="153">
        <v>92.2</v>
      </c>
      <c r="M19" s="159">
        <v>2</v>
      </c>
      <c r="N19" s="321">
        <v>2.9</v>
      </c>
      <c r="O19" s="159">
        <v>92</v>
      </c>
      <c r="P19" s="153">
        <v>1.5</v>
      </c>
      <c r="Q19" s="322">
        <v>2.33</v>
      </c>
      <c r="R19" s="331">
        <v>90.91</v>
      </c>
      <c r="S19" s="323">
        <v>1.6</v>
      </c>
      <c r="T19" s="330">
        <v>1.6</v>
      </c>
      <c r="U19" s="331">
        <v>88</v>
      </c>
      <c r="V19" s="323">
        <v>3.3</v>
      </c>
      <c r="W19" s="330">
        <v>1.66</v>
      </c>
      <c r="X19" s="331">
        <v>89.11</v>
      </c>
      <c r="Y19" s="154">
        <v>2.9</v>
      </c>
      <c r="Z19" s="330">
        <v>2.33</v>
      </c>
      <c r="AA19" s="330">
        <v>88.93</v>
      </c>
      <c r="AB19" s="330">
        <v>2.33</v>
      </c>
      <c r="AC19" s="155">
        <v>2.9054813692510875</v>
      </c>
      <c r="AD19" s="155">
        <v>87.148341849972127</v>
      </c>
      <c r="AE19" s="418">
        <v>2.0038209345144291</v>
      </c>
      <c r="AF19" s="156">
        <v>1.7</v>
      </c>
      <c r="AG19" s="157">
        <v>88.37</v>
      </c>
      <c r="AH19" s="158">
        <v>2.35</v>
      </c>
      <c r="AI19" s="158">
        <v>2.2686364849430878</v>
      </c>
      <c r="AJ19" s="158">
        <v>89.137839883759852</v>
      </c>
      <c r="AK19" s="158">
        <v>2.0961223463740897</v>
      </c>
      <c r="AL19" s="151">
        <v>2.3199999999999998</v>
      </c>
      <c r="AM19" s="151">
        <v>89.68</v>
      </c>
      <c r="AN19" s="151">
        <v>1.99</v>
      </c>
      <c r="AO19" s="151">
        <v>2.5049720110920779</v>
      </c>
      <c r="AP19" s="151">
        <v>90.947984804105019</v>
      </c>
      <c r="AQ19" s="151">
        <v>2.0216459235463549</v>
      </c>
    </row>
    <row r="20" spans="1:43" s="22" customFormat="1" x14ac:dyDescent="0.2">
      <c r="A20" s="316" t="s">
        <v>15</v>
      </c>
      <c r="B20" s="328">
        <v>13.6</v>
      </c>
      <c r="C20" s="328">
        <v>69</v>
      </c>
      <c r="D20" s="328">
        <v>13.3</v>
      </c>
      <c r="E20" s="330">
        <v>6.1</v>
      </c>
      <c r="F20" s="330">
        <v>84.8</v>
      </c>
      <c r="G20" s="330">
        <v>3</v>
      </c>
      <c r="H20" s="330">
        <v>2.7</v>
      </c>
      <c r="I20" s="330">
        <v>90.9</v>
      </c>
      <c r="J20" s="331">
        <v>2.1</v>
      </c>
      <c r="K20" s="153">
        <v>3.2</v>
      </c>
      <c r="L20" s="159">
        <v>94</v>
      </c>
      <c r="M20" s="153">
        <v>2.1</v>
      </c>
      <c r="N20" s="321">
        <v>6.4</v>
      </c>
      <c r="O20" s="159">
        <v>90</v>
      </c>
      <c r="P20" s="153">
        <v>1.8</v>
      </c>
      <c r="Q20" s="322">
        <v>3.91</v>
      </c>
      <c r="R20" s="331">
        <v>92.62</v>
      </c>
      <c r="S20" s="323">
        <v>1</v>
      </c>
      <c r="T20" s="330">
        <v>2.1</v>
      </c>
      <c r="U20" s="331">
        <v>96.1</v>
      </c>
      <c r="V20" s="323">
        <v>1</v>
      </c>
      <c r="W20" s="330">
        <v>3.41</v>
      </c>
      <c r="X20" s="331">
        <v>95.37</v>
      </c>
      <c r="Y20" s="154">
        <v>1.1100000000000001</v>
      </c>
      <c r="Z20" s="330">
        <v>2.2200000000000002</v>
      </c>
      <c r="AA20" s="330">
        <v>96.53</v>
      </c>
      <c r="AB20" s="330">
        <v>1.1299999999999999</v>
      </c>
      <c r="AC20" s="155">
        <v>5.670124898315148</v>
      </c>
      <c r="AD20" s="155">
        <v>89.832017110831714</v>
      </c>
      <c r="AE20" s="418">
        <v>1.2671464127708523</v>
      </c>
      <c r="AF20" s="156">
        <v>0.41</v>
      </c>
      <c r="AG20" s="157">
        <v>93.26</v>
      </c>
      <c r="AH20" s="158">
        <v>1.56</v>
      </c>
      <c r="AI20" s="158">
        <v>0.12110249933453207</v>
      </c>
      <c r="AJ20" s="158">
        <v>94.719983630041</v>
      </c>
      <c r="AK20" s="158">
        <v>1.518643589665496</v>
      </c>
      <c r="AL20" s="151">
        <v>1.54</v>
      </c>
      <c r="AM20" s="151">
        <v>95.05</v>
      </c>
      <c r="AN20" s="151">
        <v>1.57</v>
      </c>
      <c r="AO20" s="151">
        <v>1.6053691669140506</v>
      </c>
      <c r="AP20" s="151">
        <v>96.173161586942896</v>
      </c>
      <c r="AQ20" s="151">
        <v>1.6183378888351652</v>
      </c>
    </row>
    <row r="21" spans="1:43" s="22" customFormat="1" x14ac:dyDescent="0.2">
      <c r="A21" s="316" t="s">
        <v>16</v>
      </c>
      <c r="B21" s="328">
        <v>14.9</v>
      </c>
      <c r="C21" s="328">
        <v>68.8</v>
      </c>
      <c r="D21" s="328">
        <v>13.2</v>
      </c>
      <c r="E21" s="330">
        <v>3.7</v>
      </c>
      <c r="F21" s="330">
        <v>55.2</v>
      </c>
      <c r="G21" s="330">
        <v>37.9</v>
      </c>
      <c r="H21" s="330">
        <v>2.5</v>
      </c>
      <c r="I21" s="330">
        <v>94.6</v>
      </c>
      <c r="J21" s="331">
        <v>2</v>
      </c>
      <c r="K21" s="153">
        <v>2.4</v>
      </c>
      <c r="L21" s="153">
        <v>91.5</v>
      </c>
      <c r="M21" s="153">
        <v>2.2000000000000002</v>
      </c>
      <c r="N21" s="321">
        <v>3.1</v>
      </c>
      <c r="O21" s="159">
        <v>90</v>
      </c>
      <c r="P21" s="153">
        <v>3.7</v>
      </c>
      <c r="Q21" s="322">
        <v>1.97</v>
      </c>
      <c r="R21" s="331">
        <v>94.22</v>
      </c>
      <c r="S21" s="323">
        <v>2.04</v>
      </c>
      <c r="T21" s="330">
        <v>1</v>
      </c>
      <c r="U21" s="331">
        <v>95.1</v>
      </c>
      <c r="V21" s="323">
        <v>2.7</v>
      </c>
      <c r="W21" s="330">
        <v>0.4</v>
      </c>
      <c r="X21" s="331">
        <v>95.2</v>
      </c>
      <c r="Y21" s="154">
        <v>0.53</v>
      </c>
      <c r="Z21" s="330">
        <v>0.09</v>
      </c>
      <c r="AA21" s="330">
        <v>94.01</v>
      </c>
      <c r="AB21" s="330">
        <v>0.3</v>
      </c>
      <c r="AC21" s="155">
        <v>0.22122677601612303</v>
      </c>
      <c r="AD21" s="155">
        <v>88.682377433274155</v>
      </c>
      <c r="AE21" s="418">
        <v>0.58720137757799562</v>
      </c>
      <c r="AF21" s="156">
        <v>0.6</v>
      </c>
      <c r="AG21" s="157">
        <v>94.25</v>
      </c>
      <c r="AH21" s="158">
        <v>0.15</v>
      </c>
      <c r="AI21" s="158">
        <v>0.56108855133148394</v>
      </c>
      <c r="AJ21" s="158">
        <v>99.190445023427884</v>
      </c>
      <c r="AK21" s="162">
        <v>3.4313276702993549E-2</v>
      </c>
      <c r="AL21" s="151">
        <v>0.21</v>
      </c>
      <c r="AM21" s="151">
        <v>99.54</v>
      </c>
      <c r="AN21" s="151">
        <v>7.0000000000000007E-2</v>
      </c>
      <c r="AO21" s="151">
        <v>9.8605896687626912E-2</v>
      </c>
      <c r="AP21" s="151">
        <v>97.898858627317196</v>
      </c>
      <c r="AQ21" s="151">
        <v>0.310941900470803</v>
      </c>
    </row>
    <row r="22" spans="1:43" s="22" customFormat="1" x14ac:dyDescent="0.2">
      <c r="A22" s="316" t="s">
        <v>17</v>
      </c>
      <c r="B22" s="328">
        <v>15.3</v>
      </c>
      <c r="C22" s="328">
        <v>56.2</v>
      </c>
      <c r="D22" s="328">
        <v>25.2</v>
      </c>
      <c r="E22" s="330">
        <v>8.3000000000000007</v>
      </c>
      <c r="F22" s="330">
        <v>85.4</v>
      </c>
      <c r="G22" s="330">
        <v>4.4000000000000004</v>
      </c>
      <c r="H22" s="330">
        <v>3.8</v>
      </c>
      <c r="I22" s="330">
        <v>88</v>
      </c>
      <c r="J22" s="331">
        <v>1.9</v>
      </c>
      <c r="K22" s="153">
        <v>5.2</v>
      </c>
      <c r="L22" s="153">
        <v>91.5</v>
      </c>
      <c r="M22" s="153">
        <v>1.8</v>
      </c>
      <c r="N22" s="321">
        <v>6.2</v>
      </c>
      <c r="O22" s="153">
        <v>90.4</v>
      </c>
      <c r="P22" s="153">
        <v>3.1</v>
      </c>
      <c r="Q22" s="322">
        <v>7.49</v>
      </c>
      <c r="R22" s="331">
        <v>90.63</v>
      </c>
      <c r="S22" s="323">
        <v>0.82</v>
      </c>
      <c r="T22" s="330">
        <v>13.2</v>
      </c>
      <c r="U22" s="331">
        <v>84</v>
      </c>
      <c r="V22" s="323">
        <v>1.1000000000000001</v>
      </c>
      <c r="W22" s="330">
        <v>6.7</v>
      </c>
      <c r="X22" s="331">
        <v>92.02</v>
      </c>
      <c r="Y22" s="154">
        <v>0.95</v>
      </c>
      <c r="Z22" s="330">
        <v>6.82</v>
      </c>
      <c r="AA22" s="330">
        <v>90.25</v>
      </c>
      <c r="AB22" s="330" t="s">
        <v>90</v>
      </c>
      <c r="AC22" s="155">
        <v>5.7773544915335577</v>
      </c>
      <c r="AD22" s="155">
        <v>92.10982559346391</v>
      </c>
      <c r="AE22" s="418">
        <v>1.2161271271995022</v>
      </c>
      <c r="AF22" s="156">
        <v>4.2</v>
      </c>
      <c r="AG22" s="157">
        <v>95.1</v>
      </c>
      <c r="AH22" s="158">
        <v>0.21</v>
      </c>
      <c r="AI22" s="158">
        <v>3.6771627136615819</v>
      </c>
      <c r="AJ22" s="158">
        <v>94.612320440253797</v>
      </c>
      <c r="AK22" s="158">
        <v>1.4250934859937452</v>
      </c>
      <c r="AL22" s="151">
        <v>4.1500000000000004</v>
      </c>
      <c r="AM22" s="151">
        <v>94.57</v>
      </c>
      <c r="AN22" s="151">
        <v>0.61</v>
      </c>
      <c r="AO22" s="151">
        <v>3.1732600457945397</v>
      </c>
      <c r="AP22" s="151">
        <v>94.522899345175503</v>
      </c>
      <c r="AQ22" s="151">
        <v>1.1424620846025844</v>
      </c>
    </row>
    <row r="23" spans="1:43" s="22" customFormat="1" x14ac:dyDescent="0.2">
      <c r="A23" s="316" t="s">
        <v>18</v>
      </c>
      <c r="B23" s="328">
        <v>8.9</v>
      </c>
      <c r="C23" s="328">
        <v>62.1</v>
      </c>
      <c r="D23" s="328">
        <v>23.8</v>
      </c>
      <c r="E23" s="330">
        <v>3.1</v>
      </c>
      <c r="F23" s="330">
        <v>86.8</v>
      </c>
      <c r="G23" s="330">
        <v>8.3000000000000007</v>
      </c>
      <c r="H23" s="330">
        <v>1.3</v>
      </c>
      <c r="I23" s="330">
        <v>80</v>
      </c>
      <c r="J23" s="331">
        <v>3.2</v>
      </c>
      <c r="K23" s="153">
        <v>1.2</v>
      </c>
      <c r="L23" s="153">
        <v>81.099999999999994</v>
      </c>
      <c r="M23" s="153">
        <v>2.6</v>
      </c>
      <c r="N23" s="321">
        <v>1.7</v>
      </c>
      <c r="O23" s="153">
        <v>95.1</v>
      </c>
      <c r="P23" s="153">
        <v>2.1</v>
      </c>
      <c r="Q23" s="322">
        <v>1.7</v>
      </c>
      <c r="R23" s="331">
        <v>96.65</v>
      </c>
      <c r="S23" s="323">
        <v>0.56000000000000005</v>
      </c>
      <c r="T23" s="330">
        <v>1</v>
      </c>
      <c r="U23" s="331">
        <v>96.9</v>
      </c>
      <c r="V23" s="323">
        <v>0.9</v>
      </c>
      <c r="W23" s="330">
        <v>0.48</v>
      </c>
      <c r="X23" s="331">
        <v>97.63</v>
      </c>
      <c r="Y23" s="154">
        <v>0.22</v>
      </c>
      <c r="Z23" s="330">
        <v>0.54</v>
      </c>
      <c r="AA23" s="330">
        <v>90.75</v>
      </c>
      <c r="AB23" s="330">
        <v>7.0000000000000007E-2</v>
      </c>
      <c r="AC23" s="155">
        <v>0.51028090076152499</v>
      </c>
      <c r="AD23" s="155">
        <v>92.976087985174559</v>
      </c>
      <c r="AE23" s="418">
        <v>1.1846976136139394E-2</v>
      </c>
      <c r="AF23" s="156">
        <v>0.23</v>
      </c>
      <c r="AG23" s="157">
        <v>94.84</v>
      </c>
      <c r="AH23" s="162">
        <v>0.02</v>
      </c>
      <c r="AI23" s="158">
        <v>0.71511407386783499</v>
      </c>
      <c r="AJ23" s="158">
        <v>98.245152243352479</v>
      </c>
      <c r="AK23" s="158">
        <v>2.4456705672634574E-4</v>
      </c>
      <c r="AL23" s="151">
        <v>0.64</v>
      </c>
      <c r="AM23" s="151">
        <v>98.07</v>
      </c>
      <c r="AN23" s="151">
        <v>0.56999999999999995</v>
      </c>
      <c r="AO23" s="151">
        <v>0.5149255639612339</v>
      </c>
      <c r="AP23" s="151">
        <v>98.550603264755523</v>
      </c>
      <c r="AQ23" s="151">
        <v>0.43581102179307318</v>
      </c>
    </row>
    <row r="24" spans="1:43" s="22" customFormat="1" x14ac:dyDescent="0.2">
      <c r="A24" s="316" t="s">
        <v>19</v>
      </c>
      <c r="B24" s="328">
        <v>7.9</v>
      </c>
      <c r="C24" s="328">
        <v>55.1</v>
      </c>
      <c r="D24" s="328">
        <v>31.7</v>
      </c>
      <c r="E24" s="330">
        <v>4.9000000000000004</v>
      </c>
      <c r="F24" s="330">
        <v>74.7</v>
      </c>
      <c r="G24" s="330">
        <v>12.2</v>
      </c>
      <c r="H24" s="330">
        <v>3.9</v>
      </c>
      <c r="I24" s="330">
        <v>81.900000000000006</v>
      </c>
      <c r="J24" s="331">
        <v>4.5999999999999996</v>
      </c>
      <c r="K24" s="153">
        <v>3.6</v>
      </c>
      <c r="L24" s="153">
        <v>78.400000000000006</v>
      </c>
      <c r="M24" s="153">
        <v>5.4</v>
      </c>
      <c r="N24" s="334">
        <v>3</v>
      </c>
      <c r="O24" s="153">
        <v>76.3</v>
      </c>
      <c r="P24" s="153">
        <v>5.3</v>
      </c>
      <c r="Q24" s="322">
        <v>1.8</v>
      </c>
      <c r="R24" s="331">
        <v>79.03</v>
      </c>
      <c r="S24" s="323">
        <v>4.83</v>
      </c>
      <c r="T24" s="330">
        <v>2.5</v>
      </c>
      <c r="U24" s="331">
        <v>79.599999999999994</v>
      </c>
      <c r="V24" s="323">
        <v>6.8</v>
      </c>
      <c r="W24" s="330">
        <v>2.12</v>
      </c>
      <c r="X24" s="331">
        <v>85.65</v>
      </c>
      <c r="Y24" s="154">
        <v>3.72</v>
      </c>
      <c r="Z24" s="330">
        <v>1.9</v>
      </c>
      <c r="AA24" s="330">
        <v>82.71</v>
      </c>
      <c r="AB24" s="330">
        <v>1.83</v>
      </c>
      <c r="AC24" s="155">
        <v>1.8929046578157842</v>
      </c>
      <c r="AD24" s="155">
        <v>86.529858293194806</v>
      </c>
      <c r="AE24" s="418">
        <v>1.8132643246169273</v>
      </c>
      <c r="AF24" s="156">
        <v>2.4300000000000002</v>
      </c>
      <c r="AG24" s="157">
        <v>84.98</v>
      </c>
      <c r="AH24" s="158">
        <v>2.5299999999999998</v>
      </c>
      <c r="AI24" s="158">
        <v>1.1140274326610191</v>
      </c>
      <c r="AJ24" s="158">
        <v>86.878974438262475</v>
      </c>
      <c r="AK24" s="158">
        <v>2.1675610606657285</v>
      </c>
      <c r="AL24" s="151">
        <v>1.33</v>
      </c>
      <c r="AM24" s="151">
        <v>87.46</v>
      </c>
      <c r="AN24" s="151">
        <v>1.45</v>
      </c>
      <c r="AO24" s="151">
        <v>1.8113937327473257</v>
      </c>
      <c r="AP24" s="151">
        <v>87.012892418901131</v>
      </c>
      <c r="AQ24" s="151">
        <v>2.2909842235963951</v>
      </c>
    </row>
    <row r="25" spans="1:43" s="22" customFormat="1" ht="18.75" x14ac:dyDescent="0.2">
      <c r="A25" s="335" t="s">
        <v>103</v>
      </c>
      <c r="B25" s="336">
        <v>9.8000000000000007</v>
      </c>
      <c r="C25" s="336">
        <v>74.599999999999994</v>
      </c>
      <c r="D25" s="336">
        <v>9.8000000000000007</v>
      </c>
      <c r="E25" s="337">
        <v>3.7</v>
      </c>
      <c r="F25" s="337">
        <v>89.8</v>
      </c>
      <c r="G25" s="337">
        <v>2.4</v>
      </c>
      <c r="H25" s="337">
        <v>1.6</v>
      </c>
      <c r="I25" s="337">
        <v>89.8</v>
      </c>
      <c r="J25" s="338">
        <v>1.2</v>
      </c>
      <c r="K25" s="163">
        <v>1.6</v>
      </c>
      <c r="L25" s="163">
        <v>89.3</v>
      </c>
      <c r="M25" s="163">
        <v>1.3</v>
      </c>
      <c r="N25" s="339">
        <v>1.3</v>
      </c>
      <c r="O25" s="163">
        <v>90.2</v>
      </c>
      <c r="P25" s="163">
        <v>1.3</v>
      </c>
      <c r="Q25" s="340">
        <v>1.31</v>
      </c>
      <c r="R25" s="338">
        <v>90.08</v>
      </c>
      <c r="S25" s="341">
        <v>1.08</v>
      </c>
      <c r="T25" s="337">
        <v>1.4</v>
      </c>
      <c r="U25" s="338">
        <v>91.2</v>
      </c>
      <c r="V25" s="341">
        <v>1.1000000000000001</v>
      </c>
      <c r="W25" s="337">
        <v>1.5</v>
      </c>
      <c r="X25" s="338">
        <v>93.2</v>
      </c>
      <c r="Y25" s="164">
        <v>0.8</v>
      </c>
      <c r="Z25" s="337">
        <v>1.1100000000000001</v>
      </c>
      <c r="AA25" s="337">
        <v>91.61</v>
      </c>
      <c r="AB25" s="337">
        <v>0.74</v>
      </c>
      <c r="AC25" s="165">
        <v>0.93934670392347364</v>
      </c>
      <c r="AD25" s="165">
        <v>91.593578862463161</v>
      </c>
      <c r="AE25" s="420">
        <v>0.79082289436418585</v>
      </c>
      <c r="AF25" s="166">
        <v>0.75</v>
      </c>
      <c r="AG25" s="167">
        <v>90.48</v>
      </c>
      <c r="AH25" s="168">
        <v>0.69</v>
      </c>
      <c r="AI25" s="168">
        <v>0.7</v>
      </c>
      <c r="AJ25" s="168">
        <v>91.1</v>
      </c>
      <c r="AK25" s="168">
        <v>0.5</v>
      </c>
      <c r="AL25" s="168">
        <v>1</v>
      </c>
      <c r="AM25" s="168">
        <v>91.5</v>
      </c>
      <c r="AN25" s="168">
        <v>0.6</v>
      </c>
      <c r="AO25" s="168">
        <v>0.6643839708803122</v>
      </c>
      <c r="AP25" s="168">
        <v>91.687913543285944</v>
      </c>
      <c r="AQ25" s="168">
        <v>0.46561849722496007</v>
      </c>
    </row>
    <row r="26" spans="1:43" s="22" customFormat="1" x14ac:dyDescent="0.2">
      <c r="A26" s="316" t="s">
        <v>20</v>
      </c>
      <c r="B26" s="328">
        <v>19.600000000000001</v>
      </c>
      <c r="C26" s="328">
        <v>78.2</v>
      </c>
      <c r="D26" s="328">
        <v>1.8</v>
      </c>
      <c r="E26" s="330">
        <v>7.5</v>
      </c>
      <c r="F26" s="330">
        <v>90.8</v>
      </c>
      <c r="G26" s="330">
        <v>1.5</v>
      </c>
      <c r="H26" s="330">
        <v>2.6</v>
      </c>
      <c r="I26" s="330">
        <v>95.4</v>
      </c>
      <c r="J26" s="331">
        <v>1</v>
      </c>
      <c r="K26" s="159">
        <v>4</v>
      </c>
      <c r="L26" s="159">
        <v>94</v>
      </c>
      <c r="M26" s="153">
        <v>1.1000000000000001</v>
      </c>
      <c r="N26" s="321">
        <v>3.2</v>
      </c>
      <c r="O26" s="153">
        <v>89.4</v>
      </c>
      <c r="P26" s="153">
        <v>1.3</v>
      </c>
      <c r="Q26" s="322">
        <v>2.12</v>
      </c>
      <c r="R26" s="331">
        <v>93.88</v>
      </c>
      <c r="S26" s="323">
        <v>0.21</v>
      </c>
      <c r="T26" s="330">
        <v>1.6</v>
      </c>
      <c r="U26" s="331">
        <v>96.4</v>
      </c>
      <c r="V26" s="323">
        <v>0.2</v>
      </c>
      <c r="W26" s="330">
        <v>0.55000000000000004</v>
      </c>
      <c r="X26" s="331">
        <v>98.58</v>
      </c>
      <c r="Y26" s="154">
        <v>0.16</v>
      </c>
      <c r="Z26" s="330">
        <v>0.45</v>
      </c>
      <c r="AA26" s="330">
        <v>99.14</v>
      </c>
      <c r="AB26" s="330">
        <v>0.18</v>
      </c>
      <c r="AC26" s="155">
        <v>0.16556728383143016</v>
      </c>
      <c r="AD26" s="155">
        <v>98.776127116728958</v>
      </c>
      <c r="AE26" s="418">
        <v>0.12671454181893255</v>
      </c>
      <c r="AF26" s="156">
        <v>0.14000000000000001</v>
      </c>
      <c r="AG26" s="157">
        <v>99.37</v>
      </c>
      <c r="AH26" s="162">
        <v>0.02</v>
      </c>
      <c r="AI26" s="158">
        <v>0.74720431681359178</v>
      </c>
      <c r="AJ26" s="158">
        <v>98.507262413324014</v>
      </c>
      <c r="AK26" s="158">
        <v>5.2348375208094447E-2</v>
      </c>
      <c r="AL26" s="162">
        <v>0.03</v>
      </c>
      <c r="AM26" s="158">
        <v>98.98</v>
      </c>
      <c r="AN26" s="162">
        <v>0.04</v>
      </c>
      <c r="AO26" s="162">
        <v>1.1496965638497603E-2</v>
      </c>
      <c r="AP26" s="158">
        <v>98.921952694402592</v>
      </c>
      <c r="AQ26" s="158">
        <v>0.29069253810816315</v>
      </c>
    </row>
    <row r="27" spans="1:43" s="22" customFormat="1" x14ac:dyDescent="0.2">
      <c r="A27" s="316" t="s">
        <v>21</v>
      </c>
      <c r="B27" s="328">
        <v>6.6</v>
      </c>
      <c r="C27" s="328">
        <v>67.5</v>
      </c>
      <c r="D27" s="328">
        <v>25.6</v>
      </c>
      <c r="E27" s="330">
        <v>2.4</v>
      </c>
      <c r="F27" s="330">
        <v>96.7</v>
      </c>
      <c r="G27" s="330">
        <v>0.3</v>
      </c>
      <c r="H27" s="330">
        <v>1.2</v>
      </c>
      <c r="I27" s="330">
        <v>95</v>
      </c>
      <c r="J27" s="333">
        <v>0.03</v>
      </c>
      <c r="K27" s="153">
        <v>1.2</v>
      </c>
      <c r="L27" s="153">
        <v>94.3</v>
      </c>
      <c r="M27" s="153">
        <v>0.02</v>
      </c>
      <c r="N27" s="321">
        <v>0.6</v>
      </c>
      <c r="O27" s="153">
        <v>95.2</v>
      </c>
      <c r="P27" s="153">
        <v>0.1</v>
      </c>
      <c r="Q27" s="322">
        <v>0.86</v>
      </c>
      <c r="R27" s="331">
        <v>83.94</v>
      </c>
      <c r="S27" s="323">
        <v>0</v>
      </c>
      <c r="T27" s="330">
        <v>1</v>
      </c>
      <c r="U27" s="331">
        <v>95.9</v>
      </c>
      <c r="V27" s="323">
        <v>0</v>
      </c>
      <c r="W27" s="330">
        <v>0.23</v>
      </c>
      <c r="X27" s="331">
        <v>97.31</v>
      </c>
      <c r="Y27" s="154">
        <v>0.14000000000000001</v>
      </c>
      <c r="Z27" s="330" t="s">
        <v>90</v>
      </c>
      <c r="AA27" s="330">
        <v>88.92</v>
      </c>
      <c r="AB27" s="330">
        <v>0.14000000000000001</v>
      </c>
      <c r="AC27" s="161">
        <v>0</v>
      </c>
      <c r="AD27" s="155">
        <v>95.382184197625946</v>
      </c>
      <c r="AE27" s="418">
        <v>8.0448340738364502E-2</v>
      </c>
      <c r="AF27" s="156" t="s">
        <v>90</v>
      </c>
      <c r="AG27" s="157">
        <v>95.48</v>
      </c>
      <c r="AH27" s="158">
        <v>0.06</v>
      </c>
      <c r="AI27" s="412" t="s">
        <v>90</v>
      </c>
      <c r="AJ27" s="412">
        <v>98.056340291625744</v>
      </c>
      <c r="AK27" s="158">
        <v>0.18644504325728725</v>
      </c>
      <c r="AL27" s="158" t="s">
        <v>90</v>
      </c>
      <c r="AM27" s="158">
        <v>93.93</v>
      </c>
      <c r="AN27" s="158">
        <v>0.21</v>
      </c>
      <c r="AO27" s="158">
        <v>8.826268781496146E-6</v>
      </c>
      <c r="AP27" s="158">
        <v>93.619375766511538</v>
      </c>
      <c r="AQ27" s="158">
        <v>0.41244901836823444</v>
      </c>
    </row>
    <row r="28" spans="1:43" x14ac:dyDescent="0.2">
      <c r="A28" s="208" t="s">
        <v>22</v>
      </c>
      <c r="B28" s="328">
        <v>16</v>
      </c>
      <c r="C28" s="328">
        <v>75.400000000000006</v>
      </c>
      <c r="D28" s="328">
        <v>6.8</v>
      </c>
      <c r="E28" s="328">
        <v>4.0999999999999996</v>
      </c>
      <c r="F28" s="328">
        <v>93.5</v>
      </c>
      <c r="G28" s="328">
        <v>1.7</v>
      </c>
      <c r="H28" s="328">
        <v>6.3</v>
      </c>
      <c r="I28" s="328">
        <v>91.4</v>
      </c>
      <c r="J28" s="329">
        <v>1.1000000000000001</v>
      </c>
      <c r="K28" s="145">
        <v>6.1</v>
      </c>
      <c r="L28" s="145">
        <v>82.3</v>
      </c>
      <c r="M28" s="145">
        <v>6.2</v>
      </c>
      <c r="N28" s="282">
        <v>6.3</v>
      </c>
      <c r="O28" s="145">
        <v>80.7</v>
      </c>
      <c r="P28" s="145">
        <v>4.4000000000000004</v>
      </c>
      <c r="Q28" s="273">
        <v>6.12</v>
      </c>
      <c r="R28" s="329">
        <v>76.88</v>
      </c>
      <c r="S28" s="274">
        <v>5.34</v>
      </c>
      <c r="T28" s="328">
        <v>8.5</v>
      </c>
      <c r="U28" s="329">
        <v>86.6</v>
      </c>
      <c r="V28" s="274">
        <v>1.2</v>
      </c>
      <c r="W28" s="328">
        <v>10.33</v>
      </c>
      <c r="X28" s="329">
        <v>89.28</v>
      </c>
      <c r="Y28" s="151">
        <v>0.31</v>
      </c>
      <c r="Z28" s="328">
        <v>7.86</v>
      </c>
      <c r="AA28" s="328">
        <v>91.16</v>
      </c>
      <c r="AB28" s="328">
        <v>0.28000000000000003</v>
      </c>
      <c r="AC28" s="148">
        <v>4.895954269575518</v>
      </c>
      <c r="AD28" s="148">
        <v>93.239813785496622</v>
      </c>
      <c r="AE28" s="353">
        <v>1.3527698856371384</v>
      </c>
      <c r="AF28" s="149">
        <v>4.24</v>
      </c>
      <c r="AG28" s="150">
        <v>94.09</v>
      </c>
      <c r="AH28" s="151">
        <v>0.63</v>
      </c>
      <c r="AI28" s="151">
        <v>4.7989005785813026</v>
      </c>
      <c r="AJ28" s="151">
        <v>89.765464797457639</v>
      </c>
      <c r="AK28" s="151">
        <v>2.1850657930957889</v>
      </c>
      <c r="AL28" s="158">
        <v>3.2</v>
      </c>
      <c r="AM28" s="158">
        <v>93.65</v>
      </c>
      <c r="AN28" s="158">
        <v>1.73</v>
      </c>
      <c r="AO28" s="158">
        <v>2.5110773258933432</v>
      </c>
      <c r="AP28" s="158">
        <v>96.93037941292846</v>
      </c>
      <c r="AQ28" s="158">
        <v>0.24448174384562668</v>
      </c>
    </row>
    <row r="29" spans="1:43" x14ac:dyDescent="0.2">
      <c r="A29" s="342" t="s">
        <v>58</v>
      </c>
      <c r="B29" s="328"/>
      <c r="C29" s="328"/>
      <c r="D29" s="328"/>
      <c r="E29" s="328"/>
      <c r="F29" s="328"/>
      <c r="G29" s="328"/>
      <c r="H29" s="328"/>
      <c r="I29" s="328"/>
      <c r="J29" s="329"/>
      <c r="K29" s="151"/>
      <c r="L29" s="151"/>
      <c r="M29" s="151"/>
      <c r="N29" s="343"/>
      <c r="O29" s="150"/>
      <c r="P29" s="150"/>
      <c r="Q29" s="273"/>
      <c r="R29" s="329"/>
      <c r="S29" s="274"/>
      <c r="T29" s="328"/>
      <c r="U29" s="329"/>
      <c r="V29" s="274"/>
      <c r="W29" s="328"/>
      <c r="X29" s="329"/>
      <c r="Y29" s="151"/>
      <c r="Z29" s="169"/>
      <c r="AA29" s="169"/>
      <c r="AB29" s="169"/>
      <c r="AC29" s="344"/>
      <c r="AD29" s="169"/>
      <c r="AE29" s="421"/>
      <c r="AF29" s="149"/>
      <c r="AG29" s="150"/>
      <c r="AH29" s="151"/>
      <c r="AI29" s="151"/>
      <c r="AJ29" s="151"/>
      <c r="AK29" s="151"/>
      <c r="AL29" s="158"/>
      <c r="AM29" s="158"/>
      <c r="AN29" s="158"/>
      <c r="AO29" s="158"/>
      <c r="AP29" s="158"/>
      <c r="AQ29" s="158"/>
    </row>
    <row r="30" spans="1:43" ht="19.5" x14ac:dyDescent="0.2">
      <c r="A30" s="345" t="s">
        <v>92</v>
      </c>
      <c r="B30" s="328">
        <v>10.4</v>
      </c>
      <c r="C30" s="328">
        <v>89.2</v>
      </c>
      <c r="D30" s="328">
        <v>0.4</v>
      </c>
      <c r="E30" s="328">
        <v>5.8</v>
      </c>
      <c r="F30" s="328">
        <v>93.7</v>
      </c>
      <c r="G30" s="328" t="s">
        <v>90</v>
      </c>
      <c r="H30" s="328">
        <v>1.2</v>
      </c>
      <c r="I30" s="328">
        <v>97.7</v>
      </c>
      <c r="J30" s="329" t="s">
        <v>90</v>
      </c>
      <c r="K30" s="170">
        <v>2.5</v>
      </c>
      <c r="L30" s="145">
        <v>79.5</v>
      </c>
      <c r="M30" s="145">
        <v>16.8</v>
      </c>
      <c r="N30" s="282">
        <v>5.3</v>
      </c>
      <c r="O30" s="145">
        <v>93.9</v>
      </c>
      <c r="P30" s="145">
        <v>0.7</v>
      </c>
      <c r="Q30" s="273">
        <v>3.9</v>
      </c>
      <c r="R30" s="329">
        <v>75.7</v>
      </c>
      <c r="S30" s="274">
        <v>0.7</v>
      </c>
      <c r="T30" s="328">
        <v>1.8</v>
      </c>
      <c r="U30" s="329">
        <v>82.1</v>
      </c>
      <c r="V30" s="274">
        <v>0.9</v>
      </c>
      <c r="W30" s="328">
        <v>7.53</v>
      </c>
      <c r="X30" s="329">
        <v>92.42</v>
      </c>
      <c r="Y30" s="147" t="s">
        <v>90</v>
      </c>
      <c r="Z30" s="328">
        <v>10.52</v>
      </c>
      <c r="AA30" s="328">
        <v>85.76</v>
      </c>
      <c r="AB30" s="328" t="s">
        <v>90</v>
      </c>
      <c r="AC30" s="150">
        <v>6.9707447536835607</v>
      </c>
      <c r="AD30" s="150">
        <v>91.422632549097784</v>
      </c>
      <c r="AE30" s="354">
        <v>1.5804753084727015</v>
      </c>
      <c r="AF30" s="149">
        <v>0.75</v>
      </c>
      <c r="AG30" s="150">
        <v>98.49</v>
      </c>
      <c r="AH30" s="151">
        <v>0.76</v>
      </c>
      <c r="AI30" s="151">
        <v>0.25473584751924794</v>
      </c>
      <c r="AJ30" s="151">
        <v>98</v>
      </c>
      <c r="AK30" s="151">
        <v>1.7</v>
      </c>
      <c r="AL30" s="158">
        <v>0.2</v>
      </c>
      <c r="AM30" s="158">
        <v>98.76</v>
      </c>
      <c r="AN30" s="158">
        <v>0.88</v>
      </c>
      <c r="AO30" s="158">
        <v>0.29923706852068599</v>
      </c>
      <c r="AP30" s="158">
        <v>99.488110407285973</v>
      </c>
      <c r="AQ30" s="158">
        <v>0.10195551556121643</v>
      </c>
    </row>
    <row r="31" spans="1:43" ht="19.5" x14ac:dyDescent="0.2">
      <c r="A31" s="345" t="s">
        <v>84</v>
      </c>
      <c r="B31" s="328"/>
      <c r="C31" s="328"/>
      <c r="D31" s="328"/>
      <c r="E31" s="328"/>
      <c r="F31" s="328"/>
      <c r="G31" s="328"/>
      <c r="H31" s="328"/>
      <c r="I31" s="328"/>
      <c r="J31" s="329"/>
      <c r="K31" s="145">
        <v>7.6</v>
      </c>
      <c r="L31" s="145">
        <v>83.5</v>
      </c>
      <c r="M31" s="145">
        <v>1.6</v>
      </c>
      <c r="N31" s="282">
        <v>6.5</v>
      </c>
      <c r="O31" s="145">
        <v>77.8</v>
      </c>
      <c r="P31" s="145">
        <v>5.2</v>
      </c>
      <c r="Q31" s="273">
        <v>6.5</v>
      </c>
      <c r="R31" s="329">
        <v>77.099999999999994</v>
      </c>
      <c r="S31" s="274">
        <v>6.2</v>
      </c>
      <c r="T31" s="328">
        <v>10.3</v>
      </c>
      <c r="U31" s="329">
        <v>87.8</v>
      </c>
      <c r="V31" s="274">
        <v>1.3</v>
      </c>
      <c r="W31" s="328">
        <v>11.1</v>
      </c>
      <c r="X31" s="329">
        <v>88.41</v>
      </c>
      <c r="Y31" s="147">
        <v>0.4</v>
      </c>
      <c r="Z31" s="328">
        <v>7.38</v>
      </c>
      <c r="AA31" s="328">
        <v>92.14</v>
      </c>
      <c r="AB31" s="328">
        <v>0.34</v>
      </c>
      <c r="AC31" s="148">
        <v>4.4691286795264924</v>
      </c>
      <c r="AD31" s="148">
        <v>93.61364403939109</v>
      </c>
      <c r="AE31" s="353">
        <v>1.3059263598914848</v>
      </c>
      <c r="AF31" s="149">
        <v>6.82</v>
      </c>
      <c r="AG31" s="150">
        <v>90.86</v>
      </c>
      <c r="AH31" s="151">
        <v>0.54</v>
      </c>
      <c r="AI31" s="151">
        <v>6.8252775933854153</v>
      </c>
      <c r="AJ31" s="151">
        <v>86.1</v>
      </c>
      <c r="AK31" s="151">
        <v>2.4</v>
      </c>
      <c r="AL31" s="158">
        <v>4.41</v>
      </c>
      <c r="AM31" s="158">
        <v>91.58</v>
      </c>
      <c r="AN31" s="158">
        <v>2.0699999999999998</v>
      </c>
      <c r="AO31" s="158">
        <v>3.0101410977524581</v>
      </c>
      <c r="AP31" s="158">
        <v>96.353271335982029</v>
      </c>
      <c r="AQ31" s="158">
        <v>0.27664033976564245</v>
      </c>
    </row>
    <row r="32" spans="1:43" x14ac:dyDescent="0.2">
      <c r="A32" s="208" t="s">
        <v>23</v>
      </c>
      <c r="B32" s="328">
        <v>2.9</v>
      </c>
      <c r="C32" s="328">
        <v>78.5</v>
      </c>
      <c r="D32" s="328">
        <v>15.6</v>
      </c>
      <c r="E32" s="328">
        <v>3.4</v>
      </c>
      <c r="F32" s="328">
        <v>90.3</v>
      </c>
      <c r="G32" s="328">
        <v>4.5</v>
      </c>
      <c r="H32" s="328">
        <v>3</v>
      </c>
      <c r="I32" s="328">
        <v>91.3</v>
      </c>
      <c r="J32" s="329">
        <v>2.4</v>
      </c>
      <c r="K32" s="145">
        <v>2.5</v>
      </c>
      <c r="L32" s="145">
        <v>74.2</v>
      </c>
      <c r="M32" s="145">
        <v>2.2000000000000002</v>
      </c>
      <c r="N32" s="282">
        <v>2.7</v>
      </c>
      <c r="O32" s="145">
        <v>81.8</v>
      </c>
      <c r="P32" s="146">
        <v>2</v>
      </c>
      <c r="Q32" s="273">
        <v>3.73</v>
      </c>
      <c r="R32" s="329">
        <v>89.9</v>
      </c>
      <c r="S32" s="274">
        <v>2.62</v>
      </c>
      <c r="T32" s="328">
        <v>2.9</v>
      </c>
      <c r="U32" s="329">
        <v>92</v>
      </c>
      <c r="V32" s="274">
        <v>1.4</v>
      </c>
      <c r="W32" s="328">
        <v>3.27</v>
      </c>
      <c r="X32" s="329">
        <v>94.82</v>
      </c>
      <c r="Y32" s="147">
        <v>1.3</v>
      </c>
      <c r="Z32" s="328">
        <v>1.94</v>
      </c>
      <c r="AA32" s="328">
        <v>87.17</v>
      </c>
      <c r="AB32" s="328">
        <v>1.08</v>
      </c>
      <c r="AC32" s="148">
        <v>1.6177458024014095</v>
      </c>
      <c r="AD32" s="148">
        <v>73.537335597445079</v>
      </c>
      <c r="AE32" s="353">
        <v>0.87132972949135168</v>
      </c>
      <c r="AF32" s="149">
        <v>0.6</v>
      </c>
      <c r="AG32" s="150">
        <v>88.32</v>
      </c>
      <c r="AH32" s="151">
        <v>0.96</v>
      </c>
      <c r="AI32" s="151">
        <v>0.14974452236022612</v>
      </c>
      <c r="AJ32" s="151">
        <v>98.693098303236866</v>
      </c>
      <c r="AK32" s="151">
        <v>0.49033996068897978</v>
      </c>
      <c r="AL32" s="158">
        <v>0.21</v>
      </c>
      <c r="AM32" s="158">
        <v>98.5</v>
      </c>
      <c r="AN32" s="158">
        <v>0.5</v>
      </c>
      <c r="AO32" s="158">
        <v>0.17944135873461078</v>
      </c>
      <c r="AP32" s="158">
        <v>98.045723981437746</v>
      </c>
      <c r="AQ32" s="158">
        <v>0.5907815924973765</v>
      </c>
    </row>
    <row r="33" spans="1:43" x14ac:dyDescent="0.2">
      <c r="A33" s="208" t="s">
        <v>24</v>
      </c>
      <c r="B33" s="328">
        <v>18.899999999999999</v>
      </c>
      <c r="C33" s="328">
        <v>59.9</v>
      </c>
      <c r="D33" s="328">
        <v>1.3</v>
      </c>
      <c r="E33" s="328">
        <v>4.2</v>
      </c>
      <c r="F33" s="328">
        <v>67.3</v>
      </c>
      <c r="G33" s="328">
        <v>8.1999999999999993</v>
      </c>
      <c r="H33" s="328">
        <v>2.5</v>
      </c>
      <c r="I33" s="328">
        <v>81.7</v>
      </c>
      <c r="J33" s="329">
        <v>2.2000000000000002</v>
      </c>
      <c r="K33" s="145">
        <v>3.1</v>
      </c>
      <c r="L33" s="145">
        <v>77.3</v>
      </c>
      <c r="M33" s="145">
        <v>1.5</v>
      </c>
      <c r="N33" s="282">
        <v>0.4</v>
      </c>
      <c r="O33" s="145">
        <v>79.900000000000006</v>
      </c>
      <c r="P33" s="145">
        <v>0.7</v>
      </c>
      <c r="Q33" s="273">
        <v>0.23</v>
      </c>
      <c r="R33" s="329">
        <v>86</v>
      </c>
      <c r="S33" s="274">
        <v>0.49</v>
      </c>
      <c r="T33" s="328">
        <v>3.7</v>
      </c>
      <c r="U33" s="329">
        <v>87.1</v>
      </c>
      <c r="V33" s="274">
        <v>0.6</v>
      </c>
      <c r="W33" s="328">
        <v>1.1499999999999999</v>
      </c>
      <c r="X33" s="329">
        <v>91.62</v>
      </c>
      <c r="Y33" s="147">
        <v>0.27</v>
      </c>
      <c r="Z33" s="328">
        <v>1.0900000000000001</v>
      </c>
      <c r="AA33" s="328">
        <v>96.25</v>
      </c>
      <c r="AB33" s="328">
        <v>0.21</v>
      </c>
      <c r="AC33" s="148">
        <v>0.79494895702903845</v>
      </c>
      <c r="AD33" s="148">
        <v>97.174598892425138</v>
      </c>
      <c r="AE33" s="353">
        <v>0.28874826679627508</v>
      </c>
      <c r="AF33" s="149">
        <v>0.91</v>
      </c>
      <c r="AG33" s="150">
        <v>94.93</v>
      </c>
      <c r="AH33" s="151">
        <v>0.39</v>
      </c>
      <c r="AI33" s="151">
        <v>0.89246036001411566</v>
      </c>
      <c r="AJ33" s="151">
        <v>95.742137134974612</v>
      </c>
      <c r="AK33" s="151">
        <v>0.42866129596685332</v>
      </c>
      <c r="AL33" s="158">
        <v>1.1000000000000001</v>
      </c>
      <c r="AM33" s="158">
        <v>97.03</v>
      </c>
      <c r="AN33" s="158">
        <v>0.3</v>
      </c>
      <c r="AO33" s="158">
        <v>0.97598806615787281</v>
      </c>
      <c r="AP33" s="158">
        <v>96.755237317354428</v>
      </c>
      <c r="AQ33" s="158">
        <v>0.42930713951564281</v>
      </c>
    </row>
    <row r="34" spans="1:43" x14ac:dyDescent="0.2">
      <c r="A34" s="208" t="s">
        <v>25</v>
      </c>
      <c r="B34" s="328">
        <v>13</v>
      </c>
      <c r="C34" s="328">
        <v>76.400000000000006</v>
      </c>
      <c r="D34" s="328">
        <v>6.6</v>
      </c>
      <c r="E34" s="328">
        <v>3.7</v>
      </c>
      <c r="F34" s="328">
        <v>89.1</v>
      </c>
      <c r="G34" s="328">
        <v>2.7</v>
      </c>
      <c r="H34" s="328">
        <v>1.8</v>
      </c>
      <c r="I34" s="328">
        <v>82.9</v>
      </c>
      <c r="J34" s="329">
        <v>1.8</v>
      </c>
      <c r="K34" s="145">
        <v>1.7</v>
      </c>
      <c r="L34" s="145">
        <v>85.9</v>
      </c>
      <c r="M34" s="145">
        <v>1.2</v>
      </c>
      <c r="N34" s="282">
        <v>1.3</v>
      </c>
      <c r="O34" s="146">
        <v>93</v>
      </c>
      <c r="P34" s="146">
        <v>1</v>
      </c>
      <c r="Q34" s="273">
        <v>1.54</v>
      </c>
      <c r="R34" s="329">
        <v>94.45</v>
      </c>
      <c r="S34" s="274">
        <v>0.95</v>
      </c>
      <c r="T34" s="328">
        <v>1.3</v>
      </c>
      <c r="U34" s="329">
        <v>94.2</v>
      </c>
      <c r="V34" s="274">
        <v>0.9</v>
      </c>
      <c r="W34" s="328">
        <v>1.89</v>
      </c>
      <c r="X34" s="329">
        <v>93.15</v>
      </c>
      <c r="Y34" s="147">
        <v>0.62</v>
      </c>
      <c r="Z34" s="328">
        <v>2.1</v>
      </c>
      <c r="AA34" s="328">
        <v>86.59</v>
      </c>
      <c r="AB34" s="328">
        <v>0.48</v>
      </c>
      <c r="AC34" s="148">
        <v>1.4054175431566667</v>
      </c>
      <c r="AD34" s="148">
        <v>89.878734784150623</v>
      </c>
      <c r="AE34" s="353">
        <v>0.26464557513994069</v>
      </c>
      <c r="AF34" s="149">
        <v>0.55000000000000004</v>
      </c>
      <c r="AG34" s="150">
        <v>90.72</v>
      </c>
      <c r="AH34" s="151">
        <v>0.24</v>
      </c>
      <c r="AI34" s="151">
        <v>0.11386977475431506</v>
      </c>
      <c r="AJ34" s="151">
        <v>89.607684593011172</v>
      </c>
      <c r="AK34" s="151">
        <v>0.15331286803118466</v>
      </c>
      <c r="AL34" s="158">
        <v>0.53</v>
      </c>
      <c r="AM34" s="158">
        <v>95.84</v>
      </c>
      <c r="AN34" s="158">
        <v>0.21</v>
      </c>
      <c r="AO34" s="158">
        <v>0.3205326768205663</v>
      </c>
      <c r="AP34" s="158">
        <v>93.633311994782844</v>
      </c>
      <c r="AQ34" s="158">
        <v>0.25416903091833759</v>
      </c>
    </row>
    <row r="35" spans="1:43" x14ac:dyDescent="0.2">
      <c r="A35" s="208" t="s">
        <v>26</v>
      </c>
      <c r="B35" s="328">
        <v>24.4</v>
      </c>
      <c r="C35" s="328">
        <v>61.2</v>
      </c>
      <c r="D35" s="328">
        <v>11.2</v>
      </c>
      <c r="E35" s="328">
        <v>8.8000000000000007</v>
      </c>
      <c r="F35" s="328">
        <v>81</v>
      </c>
      <c r="G35" s="328">
        <v>6.8</v>
      </c>
      <c r="H35" s="328">
        <v>9.6</v>
      </c>
      <c r="I35" s="328">
        <v>88.3</v>
      </c>
      <c r="J35" s="329">
        <v>0.9</v>
      </c>
      <c r="K35" s="145">
        <v>6.3</v>
      </c>
      <c r="L35" s="145">
        <v>91.3</v>
      </c>
      <c r="M35" s="145">
        <v>0.4</v>
      </c>
      <c r="N35" s="282">
        <v>6.8</v>
      </c>
      <c r="O35" s="145">
        <v>81.5</v>
      </c>
      <c r="P35" s="145">
        <v>9.1</v>
      </c>
      <c r="Q35" s="273">
        <v>2.14</v>
      </c>
      <c r="R35" s="329">
        <v>96.29</v>
      </c>
      <c r="S35" s="274">
        <v>0.62</v>
      </c>
      <c r="T35" s="328">
        <v>1.5</v>
      </c>
      <c r="U35" s="329">
        <v>87.9</v>
      </c>
      <c r="V35" s="274">
        <v>7.3</v>
      </c>
      <c r="W35" s="328">
        <v>9.2100000000000009</v>
      </c>
      <c r="X35" s="329">
        <v>79.94</v>
      </c>
      <c r="Y35" s="147">
        <v>7.22</v>
      </c>
      <c r="Z35" s="328">
        <v>5.69</v>
      </c>
      <c r="AA35" s="328">
        <v>85.67</v>
      </c>
      <c r="AB35" s="328">
        <v>3.67</v>
      </c>
      <c r="AC35" s="148">
        <v>1.8697934398025684</v>
      </c>
      <c r="AD35" s="148">
        <v>91.175452382824417</v>
      </c>
      <c r="AE35" s="353">
        <v>1.8013201050398688</v>
      </c>
      <c r="AF35" s="149">
        <v>1.22</v>
      </c>
      <c r="AG35" s="150">
        <v>91.98</v>
      </c>
      <c r="AH35" s="151">
        <v>2.06</v>
      </c>
      <c r="AI35" s="151">
        <v>0.8844755095348581</v>
      </c>
      <c r="AJ35" s="151">
        <v>82.497448069473364</v>
      </c>
      <c r="AK35" s="151">
        <v>0.36639360236170559</v>
      </c>
      <c r="AL35" s="158">
        <v>4.99</v>
      </c>
      <c r="AM35" s="158">
        <v>65.14</v>
      </c>
      <c r="AN35" s="158">
        <v>1.1499999999999999</v>
      </c>
      <c r="AO35" s="158">
        <v>3.3645044679103844</v>
      </c>
      <c r="AP35" s="158">
        <v>61.180914999248024</v>
      </c>
      <c r="AQ35" s="158">
        <v>1.7108239241821994</v>
      </c>
    </row>
    <row r="36" spans="1:43" x14ac:dyDescent="0.2">
      <c r="A36" s="208" t="s">
        <v>27</v>
      </c>
      <c r="B36" s="328">
        <v>8.1</v>
      </c>
      <c r="C36" s="328">
        <v>81.3</v>
      </c>
      <c r="D36" s="328">
        <v>6.5</v>
      </c>
      <c r="E36" s="328">
        <v>3.6</v>
      </c>
      <c r="F36" s="328">
        <v>80.099999999999994</v>
      </c>
      <c r="G36" s="328">
        <v>9.6</v>
      </c>
      <c r="H36" s="328">
        <v>1</v>
      </c>
      <c r="I36" s="328">
        <v>96.8</v>
      </c>
      <c r="J36" s="329">
        <v>1.5</v>
      </c>
      <c r="K36" s="145">
        <v>1.1000000000000001</v>
      </c>
      <c r="L36" s="146">
        <v>97</v>
      </c>
      <c r="M36" s="145">
        <v>1.4</v>
      </c>
      <c r="N36" s="282">
        <v>0.6</v>
      </c>
      <c r="O36" s="145">
        <v>97.7</v>
      </c>
      <c r="P36" s="146">
        <v>1</v>
      </c>
      <c r="Q36" s="273">
        <v>0.31</v>
      </c>
      <c r="R36" s="329">
        <v>98.74</v>
      </c>
      <c r="S36" s="274">
        <v>0.72</v>
      </c>
      <c r="T36" s="328">
        <v>0.3</v>
      </c>
      <c r="U36" s="329">
        <v>91.6</v>
      </c>
      <c r="V36" s="274">
        <v>0</v>
      </c>
      <c r="W36" s="328">
        <v>0.35</v>
      </c>
      <c r="X36" s="329">
        <v>80.98</v>
      </c>
      <c r="Y36" s="147">
        <v>0.03</v>
      </c>
      <c r="Z36" s="328">
        <v>0.27</v>
      </c>
      <c r="AA36" s="328">
        <v>90.91</v>
      </c>
      <c r="AB36" s="346">
        <v>0.02</v>
      </c>
      <c r="AC36" s="148">
        <v>1.050348805492558</v>
      </c>
      <c r="AD36" s="148">
        <v>95.296053899163127</v>
      </c>
      <c r="AE36" s="353">
        <v>5.807794021065163E-2</v>
      </c>
      <c r="AF36" s="149">
        <v>2.48</v>
      </c>
      <c r="AG36" s="150">
        <v>94.23</v>
      </c>
      <c r="AH36" s="151">
        <v>0.14000000000000001</v>
      </c>
      <c r="AI36" s="151">
        <v>2.83167258237554</v>
      </c>
      <c r="AJ36" s="151">
        <v>96.685947126420743</v>
      </c>
      <c r="AK36" s="151">
        <v>0.22262070056213354</v>
      </c>
      <c r="AL36" s="158">
        <v>0.91</v>
      </c>
      <c r="AM36" s="158">
        <v>97.65</v>
      </c>
      <c r="AN36" s="158">
        <v>1.27</v>
      </c>
      <c r="AO36" s="158">
        <v>4.7040321076910249E-3</v>
      </c>
      <c r="AP36" s="158">
        <v>98.336866868971711</v>
      </c>
      <c r="AQ36" s="158">
        <v>9.2185858020842559E-2</v>
      </c>
    </row>
    <row r="37" spans="1:43" x14ac:dyDescent="0.2">
      <c r="A37" s="208" t="s">
        <v>28</v>
      </c>
      <c r="B37" s="328">
        <v>14.6</v>
      </c>
      <c r="C37" s="328">
        <v>81.599999999999994</v>
      </c>
      <c r="D37" s="328">
        <v>1.1000000000000001</v>
      </c>
      <c r="E37" s="328">
        <v>16.899999999999999</v>
      </c>
      <c r="F37" s="328">
        <v>79.099999999999994</v>
      </c>
      <c r="G37" s="328">
        <v>0.9</v>
      </c>
      <c r="H37" s="328">
        <v>6.8</v>
      </c>
      <c r="I37" s="328">
        <v>85.7</v>
      </c>
      <c r="J37" s="329">
        <v>0.4</v>
      </c>
      <c r="K37" s="145">
        <v>5.9</v>
      </c>
      <c r="L37" s="145">
        <v>84.9</v>
      </c>
      <c r="M37" s="145">
        <v>0.5</v>
      </c>
      <c r="N37" s="282">
        <v>4.2</v>
      </c>
      <c r="O37" s="145">
        <v>86.3</v>
      </c>
      <c r="P37" s="145">
        <v>0.6</v>
      </c>
      <c r="Q37" s="273">
        <v>1.38</v>
      </c>
      <c r="R37" s="329">
        <v>90.37</v>
      </c>
      <c r="S37" s="274">
        <v>0.52</v>
      </c>
      <c r="T37" s="328">
        <v>0.4</v>
      </c>
      <c r="U37" s="329">
        <v>91.4</v>
      </c>
      <c r="V37" s="274">
        <v>0.4</v>
      </c>
      <c r="W37" s="328">
        <v>0.34</v>
      </c>
      <c r="X37" s="329">
        <v>98.48</v>
      </c>
      <c r="Y37" s="147" t="s">
        <v>90</v>
      </c>
      <c r="Z37" s="328">
        <v>0.31</v>
      </c>
      <c r="AA37" s="328">
        <v>98.05</v>
      </c>
      <c r="AB37" s="328">
        <v>0.56000000000000005</v>
      </c>
      <c r="AC37" s="148">
        <v>0.48510414009881586</v>
      </c>
      <c r="AD37" s="148">
        <v>97.893149992466675</v>
      </c>
      <c r="AE37" s="353">
        <v>0.67970446493035197</v>
      </c>
      <c r="AF37" s="149">
        <v>0.17</v>
      </c>
      <c r="AG37" s="150">
        <v>98.4</v>
      </c>
      <c r="AH37" s="151">
        <v>0.67</v>
      </c>
      <c r="AI37" s="411">
        <v>4.3900858397604076E-2</v>
      </c>
      <c r="AJ37" s="151">
        <v>98.042149548319287</v>
      </c>
      <c r="AK37" s="151">
        <v>6.7105300089010569E-2</v>
      </c>
      <c r="AL37" s="158">
        <v>4.01</v>
      </c>
      <c r="AM37" s="158">
        <v>94.12</v>
      </c>
      <c r="AN37" s="162">
        <v>0.03</v>
      </c>
      <c r="AO37" s="158">
        <v>0.19712300718939291</v>
      </c>
      <c r="AP37" s="158">
        <v>97.928251354417213</v>
      </c>
      <c r="AQ37" s="158">
        <v>0.1189514878011408</v>
      </c>
    </row>
    <row r="38" spans="1:43" x14ac:dyDescent="0.2">
      <c r="A38" s="208" t="s">
        <v>29</v>
      </c>
      <c r="B38" s="328">
        <v>5.8</v>
      </c>
      <c r="C38" s="328">
        <v>76.400000000000006</v>
      </c>
      <c r="D38" s="328">
        <v>8.1999999999999993</v>
      </c>
      <c r="E38" s="328">
        <v>2.7</v>
      </c>
      <c r="F38" s="328">
        <v>91.5</v>
      </c>
      <c r="G38" s="328">
        <v>1.2</v>
      </c>
      <c r="H38" s="328">
        <v>0.6</v>
      </c>
      <c r="I38" s="328">
        <v>90.6</v>
      </c>
      <c r="J38" s="329">
        <v>1.2</v>
      </c>
      <c r="K38" s="145">
        <v>0.4</v>
      </c>
      <c r="L38" s="145">
        <v>93.2</v>
      </c>
      <c r="M38" s="146">
        <v>1</v>
      </c>
      <c r="N38" s="282">
        <v>0.4</v>
      </c>
      <c r="O38" s="145">
        <v>91.3</v>
      </c>
      <c r="P38" s="146">
        <v>1</v>
      </c>
      <c r="Q38" s="273">
        <v>0.47</v>
      </c>
      <c r="R38" s="329">
        <v>91.63</v>
      </c>
      <c r="S38" s="274">
        <v>0.74</v>
      </c>
      <c r="T38" s="328">
        <v>0.6</v>
      </c>
      <c r="U38" s="329">
        <v>90.3</v>
      </c>
      <c r="V38" s="274">
        <v>1.1000000000000001</v>
      </c>
      <c r="W38" s="328">
        <v>0.47</v>
      </c>
      <c r="X38" s="329">
        <v>94.19</v>
      </c>
      <c r="Y38" s="147">
        <v>0.69</v>
      </c>
      <c r="Z38" s="328">
        <v>0.32</v>
      </c>
      <c r="AA38" s="328">
        <v>92.79</v>
      </c>
      <c r="AB38" s="328">
        <v>0.87</v>
      </c>
      <c r="AC38" s="148">
        <v>0.24498355117455964</v>
      </c>
      <c r="AD38" s="148">
        <v>92.708880192724109</v>
      </c>
      <c r="AE38" s="353">
        <v>0.96876250458058577</v>
      </c>
      <c r="AF38" s="149">
        <v>0.24</v>
      </c>
      <c r="AG38" s="150">
        <v>87.79</v>
      </c>
      <c r="AH38" s="151">
        <v>0.86</v>
      </c>
      <c r="AI38" s="151">
        <v>0.37793301735364654</v>
      </c>
      <c r="AJ38" s="151">
        <v>89.149716046264359</v>
      </c>
      <c r="AK38" s="151">
        <v>0.58768898302363615</v>
      </c>
      <c r="AL38" s="158">
        <v>0.25</v>
      </c>
      <c r="AM38" s="158">
        <v>89.88</v>
      </c>
      <c r="AN38" s="158">
        <v>0.64</v>
      </c>
      <c r="AO38" s="158">
        <v>0.10690923587193112</v>
      </c>
      <c r="AP38" s="158">
        <v>92.363130037953255</v>
      </c>
      <c r="AQ38" s="158">
        <v>0.38265843911504976</v>
      </c>
    </row>
    <row r="39" spans="1:43" ht="18.75" x14ac:dyDescent="0.2">
      <c r="A39" s="259" t="s">
        <v>104</v>
      </c>
      <c r="B39" s="336">
        <v>9.6999999999999993</v>
      </c>
      <c r="C39" s="336">
        <v>72.3</v>
      </c>
      <c r="D39" s="336">
        <v>14.4</v>
      </c>
      <c r="E39" s="336">
        <v>6.4</v>
      </c>
      <c r="F39" s="336">
        <v>86.6</v>
      </c>
      <c r="G39" s="336">
        <v>3.2</v>
      </c>
      <c r="H39" s="336">
        <v>2.6</v>
      </c>
      <c r="I39" s="336">
        <v>89.4</v>
      </c>
      <c r="J39" s="347">
        <v>2.2000000000000002</v>
      </c>
      <c r="K39" s="135">
        <v>2.1</v>
      </c>
      <c r="L39" s="135">
        <v>86.2</v>
      </c>
      <c r="M39" s="135">
        <v>1.8</v>
      </c>
      <c r="N39" s="256">
        <v>2.8</v>
      </c>
      <c r="O39" s="135">
        <v>87.1</v>
      </c>
      <c r="P39" s="135">
        <v>1.4</v>
      </c>
      <c r="Q39" s="258">
        <v>2.5499999999999998</v>
      </c>
      <c r="R39" s="347">
        <v>80.400000000000006</v>
      </c>
      <c r="S39" s="263">
        <v>0.99</v>
      </c>
      <c r="T39" s="336">
        <v>2.6</v>
      </c>
      <c r="U39" s="347">
        <v>87.2</v>
      </c>
      <c r="V39" s="263">
        <v>1.1000000000000001</v>
      </c>
      <c r="W39" s="336">
        <v>3</v>
      </c>
      <c r="X39" s="347">
        <v>89.1</v>
      </c>
      <c r="Y39" s="142">
        <v>0.9</v>
      </c>
      <c r="Z39" s="336">
        <v>2.9</v>
      </c>
      <c r="AA39" s="336">
        <v>87.4</v>
      </c>
      <c r="AB39" s="336">
        <v>0.8</v>
      </c>
      <c r="AC39" s="139">
        <v>2.4233795127784594</v>
      </c>
      <c r="AD39" s="139">
        <v>86.354194831220852</v>
      </c>
      <c r="AE39" s="370">
        <v>1.7707025719402598</v>
      </c>
      <c r="AF39" s="140">
        <v>2.06</v>
      </c>
      <c r="AG39" s="143">
        <v>87.31</v>
      </c>
      <c r="AH39" s="144">
        <v>1.1200000000000001</v>
      </c>
      <c r="AI39" s="144">
        <v>2.6</v>
      </c>
      <c r="AJ39" s="144">
        <v>90.3</v>
      </c>
      <c r="AK39" s="144">
        <v>1</v>
      </c>
      <c r="AL39" s="144">
        <v>3</v>
      </c>
      <c r="AM39" s="144">
        <v>89.4</v>
      </c>
      <c r="AN39" s="144">
        <v>1.3</v>
      </c>
      <c r="AO39" s="144">
        <v>2.194851939502878</v>
      </c>
      <c r="AP39" s="144">
        <v>91.13311119760759</v>
      </c>
      <c r="AQ39" s="144">
        <v>1.0288109021669574</v>
      </c>
    </row>
    <row r="40" spans="1:43" x14ac:dyDescent="0.2">
      <c r="A40" s="208" t="s">
        <v>30</v>
      </c>
      <c r="B40" s="328">
        <v>27.1</v>
      </c>
      <c r="C40" s="328">
        <v>70.8</v>
      </c>
      <c r="D40" s="328">
        <v>2</v>
      </c>
      <c r="E40" s="328">
        <v>22.9</v>
      </c>
      <c r="F40" s="328">
        <v>76.7</v>
      </c>
      <c r="G40" s="328" t="s">
        <v>90</v>
      </c>
      <c r="H40" s="328">
        <v>6.8</v>
      </c>
      <c r="I40" s="328">
        <v>92.1</v>
      </c>
      <c r="J40" s="329">
        <v>0.8</v>
      </c>
      <c r="K40" s="145">
        <v>5.0999999999999996</v>
      </c>
      <c r="L40" s="145">
        <v>93.7</v>
      </c>
      <c r="M40" s="145">
        <v>0.7</v>
      </c>
      <c r="N40" s="282">
        <v>4.5999999999999996</v>
      </c>
      <c r="O40" s="145">
        <v>89.5</v>
      </c>
      <c r="P40" s="145">
        <v>0.9</v>
      </c>
      <c r="Q40" s="273">
        <v>7.97</v>
      </c>
      <c r="R40" s="329">
        <v>84.66</v>
      </c>
      <c r="S40" s="274">
        <v>0.86</v>
      </c>
      <c r="T40" s="328">
        <v>6.3</v>
      </c>
      <c r="U40" s="329">
        <v>88.4</v>
      </c>
      <c r="V40" s="274">
        <v>0.7</v>
      </c>
      <c r="W40" s="328">
        <v>4.0999999999999996</v>
      </c>
      <c r="X40" s="329">
        <v>93.4</v>
      </c>
      <c r="Y40" s="147">
        <v>0.7</v>
      </c>
      <c r="Z40" s="328">
        <v>2.1</v>
      </c>
      <c r="AA40" s="328">
        <v>92.28</v>
      </c>
      <c r="AB40" s="328">
        <v>0.64</v>
      </c>
      <c r="AC40" s="148">
        <v>0.36581078995638272</v>
      </c>
      <c r="AD40" s="148">
        <v>91.561061344534849</v>
      </c>
      <c r="AE40" s="353">
        <v>0.79209677678058144</v>
      </c>
      <c r="AF40" s="149">
        <v>0.35</v>
      </c>
      <c r="AG40" s="150">
        <v>96.38</v>
      </c>
      <c r="AH40" s="151">
        <v>0.51</v>
      </c>
      <c r="AI40" s="151" t="s">
        <v>90</v>
      </c>
      <c r="AJ40" s="386">
        <v>99.135816766491047</v>
      </c>
      <c r="AK40" s="151">
        <v>0.4764050819159214</v>
      </c>
      <c r="AL40" s="151" t="s">
        <v>90</v>
      </c>
      <c r="AM40" s="151">
        <v>99.41</v>
      </c>
      <c r="AN40" s="151">
        <v>0.52</v>
      </c>
      <c r="AO40" s="411">
        <v>2.3214996758260713E-2</v>
      </c>
      <c r="AP40" s="151">
        <v>99.363878048076799</v>
      </c>
      <c r="AQ40" s="151">
        <v>0.56599690427445937</v>
      </c>
    </row>
    <row r="41" spans="1:43" x14ac:dyDescent="0.2">
      <c r="A41" s="208" t="s">
        <v>31</v>
      </c>
      <c r="B41" s="328">
        <v>26.5</v>
      </c>
      <c r="C41" s="328">
        <v>59</v>
      </c>
      <c r="D41" s="328">
        <v>13.3</v>
      </c>
      <c r="E41" s="328">
        <v>16.7</v>
      </c>
      <c r="F41" s="328">
        <v>71.2</v>
      </c>
      <c r="G41" s="328">
        <v>0.5</v>
      </c>
      <c r="H41" s="328">
        <v>3.1</v>
      </c>
      <c r="I41" s="328">
        <v>89.1</v>
      </c>
      <c r="J41" s="329">
        <v>2.2000000000000002</v>
      </c>
      <c r="K41" s="145">
        <v>6.9</v>
      </c>
      <c r="L41" s="145">
        <v>86.9</v>
      </c>
      <c r="M41" s="145">
        <v>1.8</v>
      </c>
      <c r="N41" s="282">
        <v>7.8</v>
      </c>
      <c r="O41" s="145">
        <v>89.7</v>
      </c>
      <c r="P41" s="145">
        <v>1.9</v>
      </c>
      <c r="Q41" s="273">
        <v>7.36</v>
      </c>
      <c r="R41" s="329">
        <v>90.34</v>
      </c>
      <c r="S41" s="274">
        <v>2.11</v>
      </c>
      <c r="T41" s="328">
        <v>2.2999999999999998</v>
      </c>
      <c r="U41" s="329">
        <v>95.4</v>
      </c>
      <c r="V41" s="274">
        <v>1.5</v>
      </c>
      <c r="W41" s="328">
        <v>1.6</v>
      </c>
      <c r="X41" s="329">
        <v>95.2</v>
      </c>
      <c r="Y41" s="147">
        <v>2.2000000000000002</v>
      </c>
      <c r="Z41" s="328">
        <v>1.0900000000000001</v>
      </c>
      <c r="AA41" s="328">
        <v>90.31</v>
      </c>
      <c r="AB41" s="328">
        <v>5.98</v>
      </c>
      <c r="AC41" s="148">
        <v>1.9529201030333083</v>
      </c>
      <c r="AD41" s="148">
        <v>94.145381549125688</v>
      </c>
      <c r="AE41" s="353">
        <v>3.0492903451471678</v>
      </c>
      <c r="AF41" s="149">
        <v>1.98</v>
      </c>
      <c r="AG41" s="150">
        <v>94.96</v>
      </c>
      <c r="AH41" s="151">
        <v>2.99</v>
      </c>
      <c r="AI41" s="151">
        <v>4.9362790078831802</v>
      </c>
      <c r="AJ41" s="151">
        <v>93.523077501695496</v>
      </c>
      <c r="AK41" s="151">
        <v>1.4597343640956517</v>
      </c>
      <c r="AL41" s="151">
        <v>3.71</v>
      </c>
      <c r="AM41" s="151">
        <v>95</v>
      </c>
      <c r="AN41" s="151">
        <v>1.2</v>
      </c>
      <c r="AO41" s="151">
        <v>3.7127125970000363</v>
      </c>
      <c r="AP41" s="151">
        <v>90.798723708830806</v>
      </c>
      <c r="AQ41" s="151">
        <v>4.6928785202736645</v>
      </c>
    </row>
    <row r="42" spans="1:43" x14ac:dyDescent="0.2">
      <c r="A42" s="208" t="s">
        <v>116</v>
      </c>
      <c r="B42" s="328"/>
      <c r="C42" s="328"/>
      <c r="D42" s="328"/>
      <c r="E42" s="171"/>
      <c r="F42" s="172"/>
      <c r="G42" s="172"/>
      <c r="H42" s="172"/>
      <c r="I42" s="172"/>
      <c r="J42" s="348"/>
      <c r="K42" s="151"/>
      <c r="L42" s="151"/>
      <c r="M42" s="151"/>
      <c r="N42" s="343"/>
      <c r="O42" s="150"/>
      <c r="P42" s="150"/>
      <c r="Q42" s="172"/>
      <c r="R42" s="172"/>
      <c r="S42" s="172"/>
      <c r="T42" s="151">
        <v>4.4000000000000004</v>
      </c>
      <c r="U42" s="329">
        <v>95.6</v>
      </c>
      <c r="V42" s="274" t="s">
        <v>90</v>
      </c>
      <c r="W42" s="274">
        <v>27.9</v>
      </c>
      <c r="X42" s="329">
        <v>69.900000000000006</v>
      </c>
      <c r="Y42" s="329" t="s">
        <v>90</v>
      </c>
      <c r="Z42" s="328">
        <v>5.3</v>
      </c>
      <c r="AA42" s="328">
        <v>90.2</v>
      </c>
      <c r="AB42" s="328" t="s">
        <v>90</v>
      </c>
      <c r="AC42" s="148">
        <v>0.89226417161113636</v>
      </c>
      <c r="AD42" s="148">
        <v>89.761518211039245</v>
      </c>
      <c r="AE42" s="353">
        <v>9.2618888460955926</v>
      </c>
      <c r="AF42" s="149">
        <v>0.46</v>
      </c>
      <c r="AG42" s="150">
        <v>93.91</v>
      </c>
      <c r="AH42" s="151" t="s">
        <v>90</v>
      </c>
      <c r="AI42" s="151">
        <v>1.2641768562007549</v>
      </c>
      <c r="AJ42" s="151">
        <v>95.682471464756375</v>
      </c>
      <c r="AK42" s="151">
        <v>7.80177363033355E-2</v>
      </c>
      <c r="AL42" s="151">
        <v>3.09</v>
      </c>
      <c r="AM42" s="151">
        <v>82.95</v>
      </c>
      <c r="AN42" s="151">
        <v>1.19</v>
      </c>
      <c r="AO42" s="151">
        <v>4.0466289244817863</v>
      </c>
      <c r="AP42" s="151">
        <v>93.302138633655233</v>
      </c>
      <c r="AQ42" s="151">
        <v>0.31703313002205974</v>
      </c>
    </row>
    <row r="43" spans="1:43" x14ac:dyDescent="0.2">
      <c r="A43" s="208" t="s">
        <v>32</v>
      </c>
      <c r="B43" s="349">
        <v>7.8</v>
      </c>
      <c r="C43" s="349">
        <v>76.099999999999994</v>
      </c>
      <c r="D43" s="349">
        <v>12.8</v>
      </c>
      <c r="E43" s="349">
        <v>3.5</v>
      </c>
      <c r="F43" s="349">
        <v>89.5</v>
      </c>
      <c r="G43" s="349">
        <v>2.1</v>
      </c>
      <c r="H43" s="349">
        <v>2.2000000000000002</v>
      </c>
      <c r="I43" s="349">
        <v>89</v>
      </c>
      <c r="J43" s="350">
        <v>1.9</v>
      </c>
      <c r="K43" s="351">
        <v>1.3</v>
      </c>
      <c r="L43" s="351">
        <v>84.7</v>
      </c>
      <c r="M43" s="351">
        <v>1.4</v>
      </c>
      <c r="N43" s="282">
        <v>1.9</v>
      </c>
      <c r="O43" s="351">
        <v>86.2</v>
      </c>
      <c r="P43" s="351">
        <v>1.1000000000000001</v>
      </c>
      <c r="Q43" s="273">
        <v>1.75</v>
      </c>
      <c r="R43" s="350">
        <v>83.53</v>
      </c>
      <c r="S43" s="274">
        <v>0.72</v>
      </c>
      <c r="T43" s="349">
        <v>2.2000000000000002</v>
      </c>
      <c r="U43" s="350">
        <v>92.9</v>
      </c>
      <c r="V43" s="274">
        <v>0.7</v>
      </c>
      <c r="W43" s="349">
        <v>1.9</v>
      </c>
      <c r="X43" s="350">
        <v>92.9</v>
      </c>
      <c r="Y43" s="352">
        <v>0.5</v>
      </c>
      <c r="Z43" s="274">
        <v>2.74</v>
      </c>
      <c r="AA43" s="274">
        <v>83.96</v>
      </c>
      <c r="AB43" s="274">
        <v>0.39</v>
      </c>
      <c r="AC43" s="353">
        <v>1.6379887211469066</v>
      </c>
      <c r="AD43" s="353">
        <v>80.241188269838702</v>
      </c>
      <c r="AE43" s="353">
        <v>0.44621382401029108</v>
      </c>
      <c r="AF43" s="149">
        <v>1.48</v>
      </c>
      <c r="AG43" s="354">
        <v>82.15</v>
      </c>
      <c r="AH43" s="274">
        <v>0.48</v>
      </c>
      <c r="AI43" s="274">
        <v>1.904819297887268</v>
      </c>
      <c r="AJ43" s="274">
        <v>87.021374370543512</v>
      </c>
      <c r="AK43" s="274">
        <v>0.6237406266512916</v>
      </c>
      <c r="AL43" s="274">
        <v>2.38</v>
      </c>
      <c r="AM43" s="274">
        <v>89.07</v>
      </c>
      <c r="AN43" s="274">
        <v>0.87</v>
      </c>
      <c r="AO43" s="274">
        <v>1.36699699325403</v>
      </c>
      <c r="AP43" s="274">
        <v>95.076549677074283</v>
      </c>
      <c r="AQ43" s="274">
        <v>0.80370621484061011</v>
      </c>
    </row>
    <row r="44" spans="1:43" x14ac:dyDescent="0.2">
      <c r="A44" s="208" t="s">
        <v>33</v>
      </c>
      <c r="B44" s="349">
        <v>7.6</v>
      </c>
      <c r="C44" s="349">
        <v>58.5</v>
      </c>
      <c r="D44" s="349">
        <v>24.8</v>
      </c>
      <c r="E44" s="349">
        <v>7.4</v>
      </c>
      <c r="F44" s="349">
        <v>88.4</v>
      </c>
      <c r="G44" s="349">
        <v>2</v>
      </c>
      <c r="H44" s="349">
        <v>5.9</v>
      </c>
      <c r="I44" s="349">
        <v>89.7</v>
      </c>
      <c r="J44" s="350">
        <v>1.2</v>
      </c>
      <c r="K44" s="351">
        <v>9.6999999999999993</v>
      </c>
      <c r="L44" s="351">
        <v>86.2</v>
      </c>
      <c r="M44" s="351">
        <v>1.1000000000000001</v>
      </c>
      <c r="N44" s="272">
        <v>21</v>
      </c>
      <c r="O44" s="351">
        <v>75.900000000000006</v>
      </c>
      <c r="P44" s="351">
        <v>0.5</v>
      </c>
      <c r="Q44" s="273">
        <v>7.51</v>
      </c>
      <c r="R44" s="350">
        <v>49.95</v>
      </c>
      <c r="S44" s="274">
        <v>0.15</v>
      </c>
      <c r="T44" s="349">
        <v>4.5</v>
      </c>
      <c r="U44" s="350">
        <v>55.5</v>
      </c>
      <c r="V44" s="274">
        <v>0.6</v>
      </c>
      <c r="W44" s="349">
        <v>5.3</v>
      </c>
      <c r="X44" s="350">
        <v>75.3</v>
      </c>
      <c r="Y44" s="352">
        <v>0.7</v>
      </c>
      <c r="Z44" s="349">
        <v>4.9000000000000004</v>
      </c>
      <c r="AA44" s="349">
        <v>90.18</v>
      </c>
      <c r="AB44" s="349">
        <v>1.29</v>
      </c>
      <c r="AC44" s="355">
        <v>5.7110208661241462</v>
      </c>
      <c r="AD44" s="355">
        <v>92.581116393125512</v>
      </c>
      <c r="AE44" s="353">
        <v>1.142848451417988</v>
      </c>
      <c r="AF44" s="149">
        <v>2.2799999999999998</v>
      </c>
      <c r="AG44" s="356">
        <v>88.9</v>
      </c>
      <c r="AH44" s="357">
        <v>0.75</v>
      </c>
      <c r="AI44" s="357">
        <v>3.763709055385684</v>
      </c>
      <c r="AJ44" s="357">
        <v>87.987989846305709</v>
      </c>
      <c r="AK44" s="357">
        <v>0.42185935894278648</v>
      </c>
      <c r="AL44" s="357">
        <v>4.46</v>
      </c>
      <c r="AM44" s="357">
        <v>95.04</v>
      </c>
      <c r="AN44" s="357">
        <v>0.11</v>
      </c>
      <c r="AO44" s="357">
        <v>1.6160964838815584</v>
      </c>
      <c r="AP44" s="357">
        <v>65.949084439899721</v>
      </c>
      <c r="AQ44" s="373">
        <v>2.1412049867250461E-2</v>
      </c>
    </row>
    <row r="45" spans="1:43" x14ac:dyDescent="0.2">
      <c r="A45" s="208" t="s">
        <v>34</v>
      </c>
      <c r="B45" s="349">
        <v>13.6</v>
      </c>
      <c r="C45" s="349">
        <v>68.900000000000006</v>
      </c>
      <c r="D45" s="349">
        <v>13.6</v>
      </c>
      <c r="E45" s="349">
        <v>11.3</v>
      </c>
      <c r="F45" s="349">
        <v>79.7</v>
      </c>
      <c r="G45" s="349">
        <v>5.7</v>
      </c>
      <c r="H45" s="349">
        <v>2.2999999999999998</v>
      </c>
      <c r="I45" s="349">
        <v>88.9</v>
      </c>
      <c r="J45" s="350">
        <v>5</v>
      </c>
      <c r="K45" s="351">
        <v>2.8</v>
      </c>
      <c r="L45" s="351">
        <v>87.3</v>
      </c>
      <c r="M45" s="358">
        <v>5</v>
      </c>
      <c r="N45" s="282">
        <v>1.7</v>
      </c>
      <c r="O45" s="351">
        <v>88.7</v>
      </c>
      <c r="P45" s="351">
        <v>2.6</v>
      </c>
      <c r="Q45" s="273">
        <v>2.02</v>
      </c>
      <c r="R45" s="350">
        <v>88.03</v>
      </c>
      <c r="S45" s="274">
        <v>2.63</v>
      </c>
      <c r="T45" s="349">
        <v>2.4</v>
      </c>
      <c r="U45" s="350">
        <v>88.5</v>
      </c>
      <c r="V45" s="274">
        <v>2.5</v>
      </c>
      <c r="W45" s="349">
        <v>2.6</v>
      </c>
      <c r="X45" s="350">
        <v>84.1</v>
      </c>
      <c r="Y45" s="352">
        <v>1.9</v>
      </c>
      <c r="Z45" s="349">
        <v>3.24</v>
      </c>
      <c r="AA45" s="349">
        <v>83.6</v>
      </c>
      <c r="AB45" s="349">
        <v>2.27</v>
      </c>
      <c r="AC45" s="355">
        <v>2.7067974320532762</v>
      </c>
      <c r="AD45" s="355">
        <v>90.959933035573926</v>
      </c>
      <c r="AE45" s="353">
        <v>1.5714831079523768</v>
      </c>
      <c r="AF45" s="149">
        <v>3.5</v>
      </c>
      <c r="AG45" s="356">
        <v>84.96</v>
      </c>
      <c r="AH45" s="357">
        <v>2.71</v>
      </c>
      <c r="AI45" s="357">
        <v>3.8678339321330002</v>
      </c>
      <c r="AJ45" s="357">
        <v>86.779786558148103</v>
      </c>
      <c r="AK45" s="357">
        <v>2.4838970756797107</v>
      </c>
      <c r="AL45" s="357">
        <v>3.74</v>
      </c>
      <c r="AM45" s="357">
        <v>89.98</v>
      </c>
      <c r="AN45" s="357">
        <v>2.68</v>
      </c>
      <c r="AO45" s="357">
        <v>3.0353787501624057</v>
      </c>
      <c r="AP45" s="357">
        <v>85.047889179849051</v>
      </c>
      <c r="AQ45" s="357">
        <v>2.7059078333270463</v>
      </c>
    </row>
    <row r="46" spans="1:43" x14ac:dyDescent="0.2">
      <c r="A46" s="208" t="s">
        <v>35</v>
      </c>
      <c r="B46" s="349">
        <v>9.6999999999999993</v>
      </c>
      <c r="C46" s="349">
        <v>73.2</v>
      </c>
      <c r="D46" s="349">
        <v>15</v>
      </c>
      <c r="E46" s="349">
        <v>6.8</v>
      </c>
      <c r="F46" s="349">
        <v>86.6</v>
      </c>
      <c r="G46" s="349">
        <v>4</v>
      </c>
      <c r="H46" s="349">
        <v>3.3</v>
      </c>
      <c r="I46" s="349">
        <v>91</v>
      </c>
      <c r="J46" s="350">
        <v>2.1</v>
      </c>
      <c r="K46" s="359">
        <v>3</v>
      </c>
      <c r="L46" s="360">
        <v>91.8</v>
      </c>
      <c r="M46" s="360">
        <v>2.5</v>
      </c>
      <c r="N46" s="361">
        <v>3.2</v>
      </c>
      <c r="O46" s="360">
        <v>92.4</v>
      </c>
      <c r="P46" s="359">
        <v>2</v>
      </c>
      <c r="Q46" s="273">
        <v>3.19</v>
      </c>
      <c r="R46" s="350">
        <v>76.959999999999994</v>
      </c>
      <c r="S46" s="274">
        <v>1.61</v>
      </c>
      <c r="T46" s="349">
        <v>2.6</v>
      </c>
      <c r="U46" s="350">
        <v>82.3</v>
      </c>
      <c r="V46" s="274">
        <v>1.5</v>
      </c>
      <c r="W46" s="349">
        <v>3.9</v>
      </c>
      <c r="X46" s="350">
        <v>88.4</v>
      </c>
      <c r="Y46" s="352">
        <v>1.1000000000000001</v>
      </c>
      <c r="Z46" s="349">
        <v>2.87</v>
      </c>
      <c r="AA46" s="349">
        <v>92.53</v>
      </c>
      <c r="AB46" s="349">
        <v>0.94</v>
      </c>
      <c r="AC46" s="355">
        <v>3.5890872790809021</v>
      </c>
      <c r="AD46" s="355">
        <v>91.787226211693834</v>
      </c>
      <c r="AE46" s="353">
        <v>2.2805856255586421</v>
      </c>
      <c r="AF46" s="149">
        <v>2.74</v>
      </c>
      <c r="AG46" s="356">
        <v>91.75</v>
      </c>
      <c r="AH46" s="357">
        <v>3.22</v>
      </c>
      <c r="AI46" s="357">
        <v>3.5896114838577722</v>
      </c>
      <c r="AJ46" s="357">
        <v>92.267275334916206</v>
      </c>
      <c r="AK46" s="357">
        <v>1.9795091693455515</v>
      </c>
      <c r="AL46" s="357">
        <v>3.8</v>
      </c>
      <c r="AM46" s="357">
        <v>91.48</v>
      </c>
      <c r="AN46" s="357">
        <v>1.95</v>
      </c>
      <c r="AO46" s="357">
        <v>2.3922417384159478</v>
      </c>
      <c r="AP46" s="357">
        <v>93.106848305945491</v>
      </c>
      <c r="AQ46" s="357">
        <v>1.3423505731591765</v>
      </c>
    </row>
    <row r="47" spans="1:43" x14ac:dyDescent="0.2">
      <c r="A47" s="208" t="s">
        <v>117</v>
      </c>
      <c r="B47" s="349"/>
      <c r="C47" s="349"/>
      <c r="D47" s="349"/>
      <c r="E47" s="171"/>
      <c r="F47" s="362"/>
      <c r="G47" s="171"/>
      <c r="H47" s="362"/>
      <c r="I47" s="171"/>
      <c r="J47" s="363"/>
      <c r="K47" s="357"/>
      <c r="L47" s="357"/>
      <c r="M47" s="357"/>
      <c r="N47" s="343"/>
      <c r="O47" s="356"/>
      <c r="P47" s="356"/>
      <c r="Q47" s="362"/>
      <c r="R47" s="171"/>
      <c r="S47" s="362"/>
      <c r="T47" s="173" t="s">
        <v>90</v>
      </c>
      <c r="U47" s="364">
        <v>100</v>
      </c>
      <c r="V47" s="173" t="s">
        <v>90</v>
      </c>
      <c r="W47" s="357">
        <v>0.1</v>
      </c>
      <c r="X47" s="173">
        <v>92</v>
      </c>
      <c r="Y47" s="357" t="s">
        <v>90</v>
      </c>
      <c r="Z47" s="349">
        <v>0.02</v>
      </c>
      <c r="AA47" s="349">
        <v>95.57</v>
      </c>
      <c r="AB47" s="349" t="s">
        <v>90</v>
      </c>
      <c r="AC47" s="355">
        <v>1.7023037328743076</v>
      </c>
      <c r="AD47" s="355">
        <v>88.598898814698529</v>
      </c>
      <c r="AE47" s="353">
        <v>0.88463965360025643</v>
      </c>
      <c r="AF47" s="149">
        <v>16.510000000000002</v>
      </c>
      <c r="AG47" s="356">
        <v>81.7</v>
      </c>
      <c r="AH47" s="357" t="s">
        <v>90</v>
      </c>
      <c r="AI47" s="357">
        <v>9.2622200443705136</v>
      </c>
      <c r="AJ47" s="357">
        <v>89.679780238471551</v>
      </c>
      <c r="AK47" s="357">
        <v>0.8201080019384166</v>
      </c>
      <c r="AL47" s="357" t="s">
        <v>90</v>
      </c>
      <c r="AM47" s="357">
        <v>99.76</v>
      </c>
      <c r="AN47" s="357" t="s">
        <v>90</v>
      </c>
      <c r="AO47" s="357">
        <v>4.3895415289247479</v>
      </c>
      <c r="AP47" s="357">
        <v>88.853007750368107</v>
      </c>
      <c r="AQ47" s="357">
        <v>1.0039281137728111</v>
      </c>
    </row>
    <row r="48" spans="1:43" ht="18.75" x14ac:dyDescent="0.2">
      <c r="A48" s="259" t="s">
        <v>105</v>
      </c>
      <c r="B48" s="365">
        <v>13.7</v>
      </c>
      <c r="C48" s="365">
        <v>72.099999999999994</v>
      </c>
      <c r="D48" s="365">
        <v>10.7</v>
      </c>
      <c r="E48" s="365">
        <v>11.1</v>
      </c>
      <c r="F48" s="365">
        <v>74.7</v>
      </c>
      <c r="G48" s="365">
        <v>11.7</v>
      </c>
      <c r="H48" s="365">
        <v>7.3</v>
      </c>
      <c r="I48" s="365">
        <v>87.2</v>
      </c>
      <c r="J48" s="366">
        <v>3.4</v>
      </c>
      <c r="K48" s="367">
        <v>5.6</v>
      </c>
      <c r="L48" s="367">
        <v>91.2</v>
      </c>
      <c r="M48" s="367">
        <v>2.2999999999999998</v>
      </c>
      <c r="N48" s="256">
        <v>3.6</v>
      </c>
      <c r="O48" s="367">
        <v>93.7</v>
      </c>
      <c r="P48" s="367">
        <v>2.1</v>
      </c>
      <c r="Q48" s="258">
        <v>2.87</v>
      </c>
      <c r="R48" s="368">
        <v>94.44</v>
      </c>
      <c r="S48" s="263">
        <v>1.62</v>
      </c>
      <c r="T48" s="365">
        <v>1.9</v>
      </c>
      <c r="U48" s="368">
        <v>96.6</v>
      </c>
      <c r="V48" s="263">
        <v>0.9</v>
      </c>
      <c r="W48" s="365">
        <v>2.2000000000000002</v>
      </c>
      <c r="X48" s="368">
        <v>96.6</v>
      </c>
      <c r="Y48" s="369">
        <v>0.9</v>
      </c>
      <c r="Z48" s="263">
        <v>2.4</v>
      </c>
      <c r="AA48" s="263">
        <v>97.1</v>
      </c>
      <c r="AB48" s="263">
        <v>0.38</v>
      </c>
      <c r="AC48" s="370">
        <v>1.3642407281447082</v>
      </c>
      <c r="AD48" s="370">
        <v>97.554996278395805</v>
      </c>
      <c r="AE48" s="370">
        <v>0.28634462024783441</v>
      </c>
      <c r="AF48" s="140">
        <v>1.07</v>
      </c>
      <c r="AG48" s="371">
        <v>98.07</v>
      </c>
      <c r="AH48" s="263">
        <v>0.26</v>
      </c>
      <c r="AI48" s="263">
        <v>1.6</v>
      </c>
      <c r="AJ48" s="263">
        <v>97.4</v>
      </c>
      <c r="AK48" s="263">
        <v>0.5</v>
      </c>
      <c r="AL48" s="263">
        <v>1.1000000000000001</v>
      </c>
      <c r="AM48" s="263">
        <v>98.4</v>
      </c>
      <c r="AN48" s="263">
        <v>0.3</v>
      </c>
      <c r="AO48" s="263">
        <v>1.1374447078788699</v>
      </c>
      <c r="AP48" s="263">
        <v>96.280771507240686</v>
      </c>
      <c r="AQ48" s="263">
        <v>0.6926063923042971</v>
      </c>
    </row>
    <row r="49" spans="1:43" x14ac:dyDescent="0.2">
      <c r="A49" s="208" t="s">
        <v>36</v>
      </c>
      <c r="B49" s="349">
        <v>20.100000000000001</v>
      </c>
      <c r="C49" s="349">
        <v>50.3</v>
      </c>
      <c r="D49" s="349">
        <v>27.3</v>
      </c>
      <c r="E49" s="349">
        <v>9.5</v>
      </c>
      <c r="F49" s="349">
        <v>60.8</v>
      </c>
      <c r="G49" s="349">
        <v>27.9</v>
      </c>
      <c r="H49" s="349">
        <v>3.6</v>
      </c>
      <c r="I49" s="349">
        <v>89.5</v>
      </c>
      <c r="J49" s="372">
        <v>6.2</v>
      </c>
      <c r="K49" s="360">
        <v>2.6</v>
      </c>
      <c r="L49" s="360">
        <v>92.8</v>
      </c>
      <c r="M49" s="359">
        <v>4</v>
      </c>
      <c r="N49" s="361">
        <v>2.9</v>
      </c>
      <c r="O49" s="360">
        <v>94.2</v>
      </c>
      <c r="P49" s="360">
        <v>2.6</v>
      </c>
      <c r="Q49" s="273">
        <v>1.32</v>
      </c>
      <c r="R49" s="350">
        <v>95.64</v>
      </c>
      <c r="S49" s="274">
        <v>1.8</v>
      </c>
      <c r="T49" s="349">
        <v>0.5</v>
      </c>
      <c r="U49" s="350">
        <v>97.9</v>
      </c>
      <c r="V49" s="274">
        <v>1.3</v>
      </c>
      <c r="W49" s="349">
        <v>0.6</v>
      </c>
      <c r="X49" s="350">
        <v>98.2</v>
      </c>
      <c r="Y49" s="352">
        <v>1</v>
      </c>
      <c r="Z49" s="349">
        <v>0.62</v>
      </c>
      <c r="AA49" s="349">
        <v>99.27</v>
      </c>
      <c r="AB49" s="349">
        <v>0.09</v>
      </c>
      <c r="AC49" s="355">
        <v>0.3564863131630373</v>
      </c>
      <c r="AD49" s="355">
        <v>99.339638043412108</v>
      </c>
      <c r="AE49" s="353">
        <v>6.0220266348238877E-2</v>
      </c>
      <c r="AF49" s="149">
        <v>0.39</v>
      </c>
      <c r="AG49" s="356">
        <v>99.18</v>
      </c>
      <c r="AH49" s="373">
        <v>0.04</v>
      </c>
      <c r="AI49" s="357">
        <v>0.62066386622098668</v>
      </c>
      <c r="AJ49" s="357">
        <v>98.996474533117407</v>
      </c>
      <c r="AK49" s="373">
        <v>1.2175315636251528E-2</v>
      </c>
      <c r="AL49" s="357">
        <v>0.6</v>
      </c>
      <c r="AM49" s="357">
        <v>99.4</v>
      </c>
      <c r="AN49" s="373">
        <v>0.03</v>
      </c>
      <c r="AO49" s="357">
        <v>0.42911433516651198</v>
      </c>
      <c r="AP49" s="357">
        <v>99.566254819061555</v>
      </c>
      <c r="AQ49" s="357">
        <v>4.1397242304445055E-3</v>
      </c>
    </row>
    <row r="50" spans="1:43" x14ac:dyDescent="0.2">
      <c r="A50" s="208" t="s">
        <v>87</v>
      </c>
      <c r="B50" s="349">
        <v>10.1</v>
      </c>
      <c r="C50" s="349">
        <v>89.9</v>
      </c>
      <c r="D50" s="349" t="s">
        <v>90</v>
      </c>
      <c r="E50" s="349">
        <v>16.399999999999999</v>
      </c>
      <c r="F50" s="349">
        <v>82.9</v>
      </c>
      <c r="G50" s="349" t="s">
        <v>90</v>
      </c>
      <c r="H50" s="349">
        <v>3.1</v>
      </c>
      <c r="I50" s="349">
        <v>95.9</v>
      </c>
      <c r="J50" s="372" t="s">
        <v>90</v>
      </c>
      <c r="K50" s="360">
        <v>3.9</v>
      </c>
      <c r="L50" s="360">
        <v>95.3</v>
      </c>
      <c r="M50" s="360" t="s">
        <v>90</v>
      </c>
      <c r="N50" s="374">
        <v>1</v>
      </c>
      <c r="O50" s="359">
        <v>99</v>
      </c>
      <c r="P50" s="360" t="s">
        <v>90</v>
      </c>
      <c r="Q50" s="273">
        <v>1.1399999999999999</v>
      </c>
      <c r="R50" s="350">
        <v>98.86</v>
      </c>
      <c r="S50" s="274" t="s">
        <v>90</v>
      </c>
      <c r="T50" s="349">
        <v>0.2</v>
      </c>
      <c r="U50" s="350">
        <v>99.8</v>
      </c>
      <c r="V50" s="274" t="s">
        <v>90</v>
      </c>
      <c r="W50" s="349">
        <v>0.8</v>
      </c>
      <c r="X50" s="350">
        <v>99.2</v>
      </c>
      <c r="Y50" s="352" t="s">
        <v>90</v>
      </c>
      <c r="Z50" s="349">
        <v>1.03</v>
      </c>
      <c r="AA50" s="349">
        <v>98.97</v>
      </c>
      <c r="AB50" s="349" t="s">
        <v>90</v>
      </c>
      <c r="AC50" s="355">
        <v>1.6907017839884422</v>
      </c>
      <c r="AD50" s="355">
        <v>98.309298216011555</v>
      </c>
      <c r="AE50" s="353" t="s">
        <v>90</v>
      </c>
      <c r="AF50" s="149">
        <v>0.18</v>
      </c>
      <c r="AG50" s="356">
        <v>99.82</v>
      </c>
      <c r="AH50" s="373" t="s">
        <v>90</v>
      </c>
      <c r="AI50" s="357">
        <v>1.6075471231538667</v>
      </c>
      <c r="AJ50" s="357">
        <v>98.381121064312509</v>
      </c>
      <c r="AK50" s="357" t="s">
        <v>90</v>
      </c>
      <c r="AL50" s="357">
        <v>2.4</v>
      </c>
      <c r="AM50" s="357">
        <v>97.6</v>
      </c>
      <c r="AN50" s="357" t="s">
        <v>90</v>
      </c>
      <c r="AO50" s="357">
        <v>6.365905724795394E-2</v>
      </c>
      <c r="AP50" s="357">
        <v>99.935285504688125</v>
      </c>
      <c r="AQ50" s="357">
        <v>1.0554380639143492E-3</v>
      </c>
    </row>
    <row r="51" spans="1:43" ht="19.5" x14ac:dyDescent="0.2">
      <c r="A51" s="208" t="s">
        <v>81</v>
      </c>
      <c r="B51" s="349">
        <v>26.6</v>
      </c>
      <c r="C51" s="349">
        <v>54.8</v>
      </c>
      <c r="D51" s="349">
        <v>17.100000000000001</v>
      </c>
      <c r="E51" s="349">
        <v>15.9</v>
      </c>
      <c r="F51" s="349">
        <v>75.5</v>
      </c>
      <c r="G51" s="349">
        <v>3.1</v>
      </c>
      <c r="H51" s="349">
        <v>6.4</v>
      </c>
      <c r="I51" s="349">
        <v>85.8</v>
      </c>
      <c r="J51" s="372">
        <v>0.3</v>
      </c>
      <c r="K51" s="360">
        <v>5.9</v>
      </c>
      <c r="L51" s="360">
        <v>90.6</v>
      </c>
      <c r="M51" s="360">
        <v>0.4</v>
      </c>
      <c r="N51" s="361">
        <v>9.6999999999999993</v>
      </c>
      <c r="O51" s="360">
        <v>88.4</v>
      </c>
      <c r="P51" s="360">
        <v>0.1</v>
      </c>
      <c r="Q51" s="273">
        <v>5.55</v>
      </c>
      <c r="R51" s="350">
        <v>94.43</v>
      </c>
      <c r="S51" s="274">
        <v>0</v>
      </c>
      <c r="T51" s="349">
        <v>4.3</v>
      </c>
      <c r="U51" s="350">
        <v>95.7</v>
      </c>
      <c r="V51" s="274">
        <v>0</v>
      </c>
      <c r="W51" s="349">
        <v>3.4</v>
      </c>
      <c r="X51" s="350">
        <v>92.8</v>
      </c>
      <c r="Y51" s="352">
        <v>0.1</v>
      </c>
      <c r="Z51" s="349">
        <v>2.4500000000000002</v>
      </c>
      <c r="AA51" s="349">
        <v>97.48</v>
      </c>
      <c r="AB51" s="349" t="s">
        <v>90</v>
      </c>
      <c r="AC51" s="355">
        <v>1.378042321506316</v>
      </c>
      <c r="AD51" s="355">
        <v>96.45791299970179</v>
      </c>
      <c r="AE51" s="353">
        <v>1.3649710982747423E-4</v>
      </c>
      <c r="AF51" s="152">
        <v>0.01</v>
      </c>
      <c r="AG51" s="356">
        <v>99.9</v>
      </c>
      <c r="AH51" s="373">
        <v>0.03</v>
      </c>
      <c r="AI51" s="357" t="s">
        <v>90</v>
      </c>
      <c r="AJ51" s="357">
        <v>99.6</v>
      </c>
      <c r="AK51" s="357">
        <v>0.4</v>
      </c>
      <c r="AL51" s="357" t="s">
        <v>90</v>
      </c>
      <c r="AM51" s="357">
        <v>99.3</v>
      </c>
      <c r="AN51" s="357">
        <v>0.7</v>
      </c>
      <c r="AO51" s="357" t="s">
        <v>90</v>
      </c>
      <c r="AP51" s="357">
        <v>99.069533999529369</v>
      </c>
      <c r="AQ51" s="357">
        <v>0.92048298031044473</v>
      </c>
    </row>
    <row r="52" spans="1:43" ht="19.5" x14ac:dyDescent="0.2">
      <c r="A52" s="208" t="s">
        <v>82</v>
      </c>
      <c r="B52" s="349">
        <v>22.8</v>
      </c>
      <c r="C52" s="349">
        <v>70</v>
      </c>
      <c r="D52" s="349">
        <v>5.2</v>
      </c>
      <c r="E52" s="349">
        <v>13</v>
      </c>
      <c r="F52" s="349">
        <v>86.8</v>
      </c>
      <c r="G52" s="349">
        <v>0.1</v>
      </c>
      <c r="H52" s="349">
        <v>2.6</v>
      </c>
      <c r="I52" s="349">
        <v>95.7</v>
      </c>
      <c r="J52" s="372">
        <v>0.1</v>
      </c>
      <c r="K52" s="360" t="s">
        <v>90</v>
      </c>
      <c r="L52" s="359">
        <v>99</v>
      </c>
      <c r="M52" s="360">
        <v>0.1</v>
      </c>
      <c r="N52" s="361">
        <v>1.5</v>
      </c>
      <c r="O52" s="360">
        <v>98.3</v>
      </c>
      <c r="P52" s="360">
        <v>0.03</v>
      </c>
      <c r="Q52" s="273">
        <v>1.21</v>
      </c>
      <c r="R52" s="350">
        <v>98.6</v>
      </c>
      <c r="S52" s="375">
        <v>0.04</v>
      </c>
      <c r="T52" s="349">
        <v>1.2</v>
      </c>
      <c r="U52" s="350">
        <v>98.5</v>
      </c>
      <c r="V52" s="376">
        <v>0.2</v>
      </c>
      <c r="W52" s="349">
        <v>0.3</v>
      </c>
      <c r="X52" s="350">
        <v>99.6</v>
      </c>
      <c r="Y52" s="377" t="s">
        <v>90</v>
      </c>
      <c r="Z52" s="349">
        <v>6.2</v>
      </c>
      <c r="AA52" s="349">
        <v>93.7</v>
      </c>
      <c r="AB52" s="349" t="s">
        <v>90</v>
      </c>
      <c r="AC52" s="355">
        <v>0.27067355448676372</v>
      </c>
      <c r="AD52" s="355">
        <v>99.583762946046306</v>
      </c>
      <c r="AE52" s="353">
        <v>1.1442437403942249E-2</v>
      </c>
      <c r="AF52" s="149">
        <v>0.14000000000000001</v>
      </c>
      <c r="AG52" s="356">
        <v>99.63</v>
      </c>
      <c r="AH52" s="373">
        <v>0.01</v>
      </c>
      <c r="AI52" s="373">
        <v>0.01</v>
      </c>
      <c r="AJ52" s="357">
        <v>99.6</v>
      </c>
      <c r="AK52" s="373">
        <v>0.03</v>
      </c>
      <c r="AL52" s="357" t="s">
        <v>90</v>
      </c>
      <c r="AM52" s="357">
        <v>99.8</v>
      </c>
      <c r="AN52" s="373">
        <v>0.02</v>
      </c>
      <c r="AO52" s="373">
        <v>1.9501759633720459E-2</v>
      </c>
      <c r="AP52" s="357">
        <v>99.695399135658207</v>
      </c>
      <c r="AQ52" s="357">
        <v>0.1170577258935762</v>
      </c>
    </row>
    <row r="53" spans="1:43" ht="19.5" x14ac:dyDescent="0.2">
      <c r="A53" s="208" t="s">
        <v>38</v>
      </c>
      <c r="B53" s="349">
        <v>15.4</v>
      </c>
      <c r="C53" s="349">
        <v>66.400000000000006</v>
      </c>
      <c r="D53" s="349">
        <v>15.3</v>
      </c>
      <c r="E53" s="349">
        <v>14.5</v>
      </c>
      <c r="F53" s="349">
        <v>78.7</v>
      </c>
      <c r="G53" s="349">
        <v>2.9</v>
      </c>
      <c r="H53" s="349">
        <v>2.5</v>
      </c>
      <c r="I53" s="349">
        <v>90.3</v>
      </c>
      <c r="J53" s="372">
        <v>0.6</v>
      </c>
      <c r="K53" s="360">
        <v>3.1</v>
      </c>
      <c r="L53" s="360">
        <v>93.6</v>
      </c>
      <c r="M53" s="360">
        <v>0.3</v>
      </c>
      <c r="N53" s="361">
        <v>1.5</v>
      </c>
      <c r="O53" s="360">
        <v>96.2</v>
      </c>
      <c r="P53" s="360">
        <v>1.9</v>
      </c>
      <c r="Q53" s="273">
        <v>0.66</v>
      </c>
      <c r="R53" s="350">
        <v>97.65</v>
      </c>
      <c r="S53" s="274">
        <v>1.6</v>
      </c>
      <c r="T53" s="349">
        <v>0.7</v>
      </c>
      <c r="U53" s="350">
        <v>95.3</v>
      </c>
      <c r="V53" s="274" t="s">
        <v>90</v>
      </c>
      <c r="W53" s="349">
        <v>2.2999999999999998</v>
      </c>
      <c r="X53" s="350">
        <v>97.6</v>
      </c>
      <c r="Y53" s="352">
        <v>0.1</v>
      </c>
      <c r="Z53" s="349">
        <v>8.39</v>
      </c>
      <c r="AA53" s="349">
        <v>91.61</v>
      </c>
      <c r="AB53" s="349" t="s">
        <v>90</v>
      </c>
      <c r="AC53" s="355">
        <v>2.5551382546763945</v>
      </c>
      <c r="AD53" s="355">
        <v>97.348301034533151</v>
      </c>
      <c r="AE53" s="353">
        <v>3.2257148946329889E-2</v>
      </c>
      <c r="AF53" s="149">
        <v>0.82</v>
      </c>
      <c r="AG53" s="356">
        <v>99.09</v>
      </c>
      <c r="AH53" s="373">
        <v>0.02</v>
      </c>
      <c r="AI53" s="357" t="s">
        <v>90</v>
      </c>
      <c r="AJ53" s="357">
        <v>95</v>
      </c>
      <c r="AK53" s="357">
        <v>5</v>
      </c>
      <c r="AL53" s="373">
        <v>0.01</v>
      </c>
      <c r="AM53" s="357">
        <v>99.8</v>
      </c>
      <c r="AN53" s="357">
        <v>0.1</v>
      </c>
      <c r="AO53" s="357" t="s">
        <v>90</v>
      </c>
      <c r="AP53" s="357">
        <v>99.790621025348187</v>
      </c>
      <c r="AQ53" s="357">
        <v>7.7790789181610892E-2</v>
      </c>
    </row>
    <row r="54" spans="1:43" x14ac:dyDescent="0.2">
      <c r="A54" s="208" t="s">
        <v>88</v>
      </c>
      <c r="B54" s="349" t="s">
        <v>39</v>
      </c>
      <c r="C54" s="349" t="s">
        <v>39</v>
      </c>
      <c r="D54" s="349" t="s">
        <v>39</v>
      </c>
      <c r="E54" s="349" t="s">
        <v>39</v>
      </c>
      <c r="F54" s="349" t="s">
        <v>39</v>
      </c>
      <c r="G54" s="349" t="s">
        <v>39</v>
      </c>
      <c r="H54" s="349">
        <v>9.1</v>
      </c>
      <c r="I54" s="349">
        <v>87.8</v>
      </c>
      <c r="J54" s="372">
        <v>0</v>
      </c>
      <c r="K54" s="360">
        <v>16.2</v>
      </c>
      <c r="L54" s="360">
        <v>83.7</v>
      </c>
      <c r="M54" s="360" t="s">
        <v>90</v>
      </c>
      <c r="N54" s="361">
        <v>5.8</v>
      </c>
      <c r="O54" s="360">
        <v>94.2</v>
      </c>
      <c r="P54" s="360" t="s">
        <v>90</v>
      </c>
      <c r="Q54" s="273">
        <v>4.26</v>
      </c>
      <c r="R54" s="350">
        <v>94.53</v>
      </c>
      <c r="S54" s="274" t="s">
        <v>90</v>
      </c>
      <c r="T54" s="349">
        <v>2.5</v>
      </c>
      <c r="U54" s="350">
        <v>97.1</v>
      </c>
      <c r="V54" s="274" t="s">
        <v>90</v>
      </c>
      <c r="W54" s="349">
        <v>3.1</v>
      </c>
      <c r="X54" s="350">
        <v>96.6</v>
      </c>
      <c r="Y54" s="352">
        <v>0.2</v>
      </c>
      <c r="Z54" s="349">
        <v>2.13</v>
      </c>
      <c r="AA54" s="349">
        <v>97.45</v>
      </c>
      <c r="AB54" s="349" t="s">
        <v>90</v>
      </c>
      <c r="AC54" s="355">
        <v>4.2085631872277842</v>
      </c>
      <c r="AD54" s="355">
        <v>92.584853904157299</v>
      </c>
      <c r="AE54" s="353" t="s">
        <v>90</v>
      </c>
      <c r="AF54" s="149">
        <v>2.57</v>
      </c>
      <c r="AG54" s="356">
        <v>96.2</v>
      </c>
      <c r="AH54" s="357" t="s">
        <v>90</v>
      </c>
      <c r="AI54" s="357">
        <v>5.8213179627131257</v>
      </c>
      <c r="AJ54" s="413">
        <v>92.46383170652102</v>
      </c>
      <c r="AK54" s="357" t="s">
        <v>90</v>
      </c>
      <c r="AL54" s="357">
        <v>4.07</v>
      </c>
      <c r="AM54" s="357">
        <v>95.18</v>
      </c>
      <c r="AN54" s="373">
        <v>0.02</v>
      </c>
      <c r="AO54" s="357">
        <v>3.0722246915974885</v>
      </c>
      <c r="AP54" s="357">
        <v>86.022882258397004</v>
      </c>
      <c r="AQ54" s="357">
        <v>0</v>
      </c>
    </row>
    <row r="55" spans="1:43" x14ac:dyDescent="0.2">
      <c r="A55" s="208" t="s">
        <v>40</v>
      </c>
      <c r="B55" s="349">
        <v>8.8000000000000007</v>
      </c>
      <c r="C55" s="349">
        <v>81.3</v>
      </c>
      <c r="D55" s="349">
        <v>5</v>
      </c>
      <c r="E55" s="349">
        <v>9.1</v>
      </c>
      <c r="F55" s="349">
        <v>84.3</v>
      </c>
      <c r="G55" s="349">
        <v>3.7</v>
      </c>
      <c r="H55" s="349">
        <v>16.8</v>
      </c>
      <c r="I55" s="349">
        <v>78.400000000000006</v>
      </c>
      <c r="J55" s="372">
        <v>2.9</v>
      </c>
      <c r="K55" s="360">
        <v>5.7</v>
      </c>
      <c r="L55" s="360">
        <v>90.8</v>
      </c>
      <c r="M55" s="360">
        <v>2.4</v>
      </c>
      <c r="N55" s="361">
        <v>3.8</v>
      </c>
      <c r="O55" s="374">
        <v>91</v>
      </c>
      <c r="P55" s="360">
        <v>3.9</v>
      </c>
      <c r="Q55" s="273">
        <v>6.1</v>
      </c>
      <c r="R55" s="350">
        <v>89.33</v>
      </c>
      <c r="S55" s="274">
        <v>2.95</v>
      </c>
      <c r="T55" s="349">
        <v>4.4000000000000004</v>
      </c>
      <c r="U55" s="350">
        <v>93.8</v>
      </c>
      <c r="V55" s="274">
        <v>1.3</v>
      </c>
      <c r="W55" s="349">
        <v>5.2</v>
      </c>
      <c r="X55" s="350">
        <v>92.7</v>
      </c>
      <c r="Y55" s="352">
        <v>1.5</v>
      </c>
      <c r="Z55" s="349">
        <v>3.49</v>
      </c>
      <c r="AA55" s="349">
        <v>94.36</v>
      </c>
      <c r="AB55" s="349">
        <v>1.73</v>
      </c>
      <c r="AC55" s="355">
        <v>2.2230890029324564</v>
      </c>
      <c r="AD55" s="355">
        <v>95.760696927156488</v>
      </c>
      <c r="AE55" s="353">
        <v>1.0151056546696295</v>
      </c>
      <c r="AF55" s="149">
        <v>1.89</v>
      </c>
      <c r="AG55" s="356">
        <v>96.24</v>
      </c>
      <c r="AH55" s="357">
        <v>0.88</v>
      </c>
      <c r="AI55" s="357">
        <v>1.9694682588518988</v>
      </c>
      <c r="AJ55" s="357">
        <v>96.852293056764651</v>
      </c>
      <c r="AK55" s="357">
        <v>0.69731477699330058</v>
      </c>
      <c r="AL55" s="357">
        <v>1.28</v>
      </c>
      <c r="AM55" s="357">
        <v>97.79</v>
      </c>
      <c r="AN55" s="357">
        <v>0.68</v>
      </c>
      <c r="AO55" s="357">
        <v>1.7625493590751919</v>
      </c>
      <c r="AP55" s="357">
        <v>95.144031185221934</v>
      </c>
      <c r="AQ55" s="357">
        <v>2.1959007189521969</v>
      </c>
    </row>
    <row r="56" spans="1:43" ht="18.75" x14ac:dyDescent="0.2">
      <c r="A56" s="259" t="s">
        <v>106</v>
      </c>
      <c r="B56" s="365">
        <v>12.4</v>
      </c>
      <c r="C56" s="365">
        <v>51.7</v>
      </c>
      <c r="D56" s="365">
        <v>32.9</v>
      </c>
      <c r="E56" s="365">
        <v>4.7</v>
      </c>
      <c r="F56" s="365">
        <v>81.3</v>
      </c>
      <c r="G56" s="365">
        <v>9.5</v>
      </c>
      <c r="H56" s="365">
        <v>2.8</v>
      </c>
      <c r="I56" s="365">
        <v>92</v>
      </c>
      <c r="J56" s="366">
        <v>2.1</v>
      </c>
      <c r="K56" s="378">
        <v>3</v>
      </c>
      <c r="L56" s="378">
        <v>91</v>
      </c>
      <c r="M56" s="367">
        <v>2.2000000000000002</v>
      </c>
      <c r="N56" s="379">
        <v>3</v>
      </c>
      <c r="O56" s="367">
        <v>91.9</v>
      </c>
      <c r="P56" s="367">
        <v>1.4</v>
      </c>
      <c r="Q56" s="258">
        <v>2.85</v>
      </c>
      <c r="R56" s="368">
        <v>92.13</v>
      </c>
      <c r="S56" s="263">
        <v>1.18</v>
      </c>
      <c r="T56" s="365">
        <v>2.7</v>
      </c>
      <c r="U56" s="368">
        <v>93.9</v>
      </c>
      <c r="V56" s="263">
        <v>0.7</v>
      </c>
      <c r="W56" s="365">
        <v>2.1</v>
      </c>
      <c r="X56" s="368">
        <v>93.9</v>
      </c>
      <c r="Y56" s="369">
        <v>0.5</v>
      </c>
      <c r="Z56" s="365">
        <v>2.2799999999999998</v>
      </c>
      <c r="AA56" s="365">
        <v>93.82</v>
      </c>
      <c r="AB56" s="365">
        <v>0.42</v>
      </c>
      <c r="AC56" s="380">
        <v>1.6756053869173213</v>
      </c>
      <c r="AD56" s="380">
        <v>95.023402155011809</v>
      </c>
      <c r="AE56" s="370">
        <v>0.47119737744015677</v>
      </c>
      <c r="AF56" s="140">
        <v>1.75</v>
      </c>
      <c r="AG56" s="381">
        <v>95.87</v>
      </c>
      <c r="AH56" s="382">
        <v>0.67</v>
      </c>
      <c r="AI56" s="382">
        <v>1.4</v>
      </c>
      <c r="AJ56" s="382">
        <v>95.6</v>
      </c>
      <c r="AK56" s="382">
        <v>0.9</v>
      </c>
      <c r="AL56" s="382">
        <v>1.7</v>
      </c>
      <c r="AM56" s="382">
        <v>94.8</v>
      </c>
      <c r="AN56" s="382">
        <v>0.9</v>
      </c>
      <c r="AO56" s="382">
        <v>1.4150952149557627</v>
      </c>
      <c r="AP56" s="382">
        <v>95.407851747433341</v>
      </c>
      <c r="AQ56" s="382">
        <v>0.7443677120322808</v>
      </c>
    </row>
    <row r="57" spans="1:43" x14ac:dyDescent="0.2">
      <c r="A57" s="208" t="s">
        <v>41</v>
      </c>
      <c r="B57" s="349">
        <v>21.6</v>
      </c>
      <c r="C57" s="349">
        <v>39.299999999999997</v>
      </c>
      <c r="D57" s="349">
        <v>35.700000000000003</v>
      </c>
      <c r="E57" s="349">
        <v>6.5</v>
      </c>
      <c r="F57" s="349">
        <v>75.599999999999994</v>
      </c>
      <c r="G57" s="349">
        <v>16.5</v>
      </c>
      <c r="H57" s="349">
        <v>3.9</v>
      </c>
      <c r="I57" s="349">
        <v>89.2</v>
      </c>
      <c r="J57" s="372">
        <v>6</v>
      </c>
      <c r="K57" s="360">
        <v>4.5</v>
      </c>
      <c r="L57" s="360">
        <v>88.8</v>
      </c>
      <c r="M57" s="360">
        <v>5.3</v>
      </c>
      <c r="N57" s="361">
        <v>2.8</v>
      </c>
      <c r="O57" s="360">
        <v>92.4</v>
      </c>
      <c r="P57" s="360">
        <v>3.8</v>
      </c>
      <c r="Q57" s="273">
        <v>3.58</v>
      </c>
      <c r="R57" s="350">
        <v>91.85</v>
      </c>
      <c r="S57" s="274">
        <v>3.15</v>
      </c>
      <c r="T57" s="349">
        <v>2.9</v>
      </c>
      <c r="U57" s="350">
        <v>94</v>
      </c>
      <c r="V57" s="274">
        <v>0.7</v>
      </c>
      <c r="W57" s="349">
        <v>2.69</v>
      </c>
      <c r="X57" s="350">
        <v>95.28</v>
      </c>
      <c r="Y57" s="352">
        <v>0.59</v>
      </c>
      <c r="Z57" s="349">
        <v>3.12</v>
      </c>
      <c r="AA57" s="349">
        <v>95.12</v>
      </c>
      <c r="AB57" s="349">
        <v>0.59</v>
      </c>
      <c r="AC57" s="355">
        <v>3.6807038598933599</v>
      </c>
      <c r="AD57" s="355">
        <v>95.060322208843289</v>
      </c>
      <c r="AE57" s="353">
        <v>0.56257981091318432</v>
      </c>
      <c r="AF57" s="149">
        <v>2.5299999999999998</v>
      </c>
      <c r="AG57" s="356">
        <v>96.14</v>
      </c>
      <c r="AH57" s="357">
        <v>0.63</v>
      </c>
      <c r="AI57" s="357">
        <v>0.52418760325150082</v>
      </c>
      <c r="AJ57" s="357">
        <v>96.197093461878723</v>
      </c>
      <c r="AK57" s="357">
        <v>2.6572047100905731</v>
      </c>
      <c r="AL57" s="357">
        <v>0.62</v>
      </c>
      <c r="AM57" s="357">
        <v>95.63</v>
      </c>
      <c r="AN57" s="357">
        <v>3.07</v>
      </c>
      <c r="AO57" s="357">
        <v>0.95651587645275427</v>
      </c>
      <c r="AP57" s="357">
        <v>95.329676760710697</v>
      </c>
      <c r="AQ57" s="357">
        <v>3.1562998763284327</v>
      </c>
    </row>
    <row r="58" spans="1:43" x14ac:dyDescent="0.2">
      <c r="A58" s="208" t="s">
        <v>42</v>
      </c>
      <c r="B58" s="349">
        <v>24.8</v>
      </c>
      <c r="C58" s="349">
        <v>48.1</v>
      </c>
      <c r="D58" s="349">
        <v>25.2</v>
      </c>
      <c r="E58" s="349">
        <v>14.6</v>
      </c>
      <c r="F58" s="349">
        <v>75.3</v>
      </c>
      <c r="G58" s="349">
        <v>6.8</v>
      </c>
      <c r="H58" s="349">
        <v>7.6</v>
      </c>
      <c r="I58" s="349">
        <v>90</v>
      </c>
      <c r="J58" s="372">
        <v>0.8</v>
      </c>
      <c r="K58" s="360">
        <v>12.4</v>
      </c>
      <c r="L58" s="360">
        <v>84.8</v>
      </c>
      <c r="M58" s="360" t="s">
        <v>90</v>
      </c>
      <c r="N58" s="361">
        <v>9.8000000000000007</v>
      </c>
      <c r="O58" s="360">
        <v>86.9</v>
      </c>
      <c r="P58" s="360">
        <v>0.1</v>
      </c>
      <c r="Q58" s="273">
        <v>7.74</v>
      </c>
      <c r="R58" s="350">
        <v>89.24</v>
      </c>
      <c r="S58" s="274">
        <v>0.2</v>
      </c>
      <c r="T58" s="349">
        <v>8.6999999999999993</v>
      </c>
      <c r="U58" s="350">
        <v>89.7</v>
      </c>
      <c r="V58" s="274">
        <v>0.1</v>
      </c>
      <c r="W58" s="349">
        <v>8.8000000000000007</v>
      </c>
      <c r="X58" s="350">
        <v>89.08</v>
      </c>
      <c r="Y58" s="352" t="s">
        <v>90</v>
      </c>
      <c r="Z58" s="349">
        <v>7.15</v>
      </c>
      <c r="AA58" s="349">
        <v>91.76</v>
      </c>
      <c r="AB58" s="349" t="s">
        <v>90</v>
      </c>
      <c r="AC58" s="355">
        <v>5.2582632410686578</v>
      </c>
      <c r="AD58" s="355">
        <v>93.976401304477704</v>
      </c>
      <c r="AE58" s="353">
        <v>0.12900547696439299</v>
      </c>
      <c r="AF58" s="149">
        <v>5.08</v>
      </c>
      <c r="AG58" s="356">
        <v>93.24</v>
      </c>
      <c r="AH58" s="357">
        <v>0.09</v>
      </c>
      <c r="AI58" s="357">
        <v>9.2372590147675862</v>
      </c>
      <c r="AJ58" s="357">
        <v>89.530941154576951</v>
      </c>
      <c r="AK58" s="357">
        <v>0.17385964926877606</v>
      </c>
      <c r="AL58" s="357">
        <v>10.78</v>
      </c>
      <c r="AM58" s="357">
        <v>88.51</v>
      </c>
      <c r="AN58" s="357">
        <v>0.08</v>
      </c>
      <c r="AO58" s="357">
        <v>8.1869050052145163</v>
      </c>
      <c r="AP58" s="357">
        <v>90.970967414352017</v>
      </c>
      <c r="AQ58" s="373">
        <v>4.6360981246974735E-2</v>
      </c>
    </row>
    <row r="59" spans="1:43" x14ac:dyDescent="0.2">
      <c r="A59" s="208" t="s">
        <v>43</v>
      </c>
      <c r="B59" s="349">
        <v>13.6</v>
      </c>
      <c r="C59" s="349">
        <v>57</v>
      </c>
      <c r="D59" s="349">
        <v>27.4</v>
      </c>
      <c r="E59" s="349">
        <v>5.4</v>
      </c>
      <c r="F59" s="349">
        <v>73.599999999999994</v>
      </c>
      <c r="G59" s="349">
        <v>17.600000000000001</v>
      </c>
      <c r="H59" s="349">
        <v>3.8</v>
      </c>
      <c r="I59" s="349">
        <v>90.1</v>
      </c>
      <c r="J59" s="372">
        <v>5.4</v>
      </c>
      <c r="K59" s="360">
        <v>0.4</v>
      </c>
      <c r="L59" s="360">
        <v>89.3</v>
      </c>
      <c r="M59" s="360">
        <v>6.4</v>
      </c>
      <c r="N59" s="361">
        <v>3.2</v>
      </c>
      <c r="O59" s="360">
        <v>88.4</v>
      </c>
      <c r="P59" s="360">
        <v>1.2</v>
      </c>
      <c r="Q59" s="273">
        <v>2.44</v>
      </c>
      <c r="R59" s="350">
        <v>88.42</v>
      </c>
      <c r="S59" s="274">
        <v>1.01</v>
      </c>
      <c r="T59" s="349">
        <v>1.4</v>
      </c>
      <c r="U59" s="350">
        <v>97</v>
      </c>
      <c r="V59" s="274">
        <v>1.2</v>
      </c>
      <c r="W59" s="349">
        <v>0.86</v>
      </c>
      <c r="X59" s="350">
        <v>97.58</v>
      </c>
      <c r="Y59" s="352">
        <v>0.9</v>
      </c>
      <c r="Z59" s="349">
        <v>0.84</v>
      </c>
      <c r="AA59" s="349">
        <v>97.43</v>
      </c>
      <c r="AB59" s="349">
        <v>1.19</v>
      </c>
      <c r="AC59" s="355">
        <v>1.4253479848884512</v>
      </c>
      <c r="AD59" s="355">
        <v>96.717846868178896</v>
      </c>
      <c r="AE59" s="353">
        <v>1.1359301704510816</v>
      </c>
      <c r="AF59" s="149">
        <v>2.13</v>
      </c>
      <c r="AG59" s="356">
        <v>96.16</v>
      </c>
      <c r="AH59" s="357">
        <v>0.81</v>
      </c>
      <c r="AI59" s="357">
        <v>1.2319938722605941</v>
      </c>
      <c r="AJ59" s="357">
        <v>97.643804873625072</v>
      </c>
      <c r="AK59" s="357">
        <v>0.65398066141447087</v>
      </c>
      <c r="AL59" s="357">
        <v>2.08</v>
      </c>
      <c r="AM59" s="357">
        <v>96.96</v>
      </c>
      <c r="AN59" s="357">
        <v>0.77</v>
      </c>
      <c r="AO59" s="357">
        <v>0.85641479784052144</v>
      </c>
      <c r="AP59" s="357">
        <v>98.581403988581187</v>
      </c>
      <c r="AQ59" s="357">
        <v>0.51983513348475829</v>
      </c>
    </row>
    <row r="60" spans="1:43" x14ac:dyDescent="0.2">
      <c r="A60" s="208" t="s">
        <v>44</v>
      </c>
      <c r="B60" s="349">
        <v>8.6999999999999993</v>
      </c>
      <c r="C60" s="349">
        <v>34.4</v>
      </c>
      <c r="D60" s="349">
        <v>55.2</v>
      </c>
      <c r="E60" s="349">
        <v>3.2</v>
      </c>
      <c r="F60" s="349">
        <v>81.3</v>
      </c>
      <c r="G60" s="349">
        <v>7</v>
      </c>
      <c r="H60" s="349">
        <v>2.1</v>
      </c>
      <c r="I60" s="349">
        <v>93.4</v>
      </c>
      <c r="J60" s="372">
        <v>0.5</v>
      </c>
      <c r="K60" s="360">
        <v>1.7</v>
      </c>
      <c r="L60" s="360">
        <v>94.4</v>
      </c>
      <c r="M60" s="360">
        <v>0.4</v>
      </c>
      <c r="N60" s="361">
        <v>1.6</v>
      </c>
      <c r="O60" s="360">
        <v>94.7</v>
      </c>
      <c r="P60" s="360">
        <v>0.4</v>
      </c>
      <c r="Q60" s="273">
        <v>1.2</v>
      </c>
      <c r="R60" s="350">
        <v>94.96</v>
      </c>
      <c r="S60" s="274">
        <v>0.42</v>
      </c>
      <c r="T60" s="349">
        <v>1.9</v>
      </c>
      <c r="U60" s="350">
        <v>93.7</v>
      </c>
      <c r="V60" s="274">
        <v>0.5</v>
      </c>
      <c r="W60" s="349">
        <v>1.48</v>
      </c>
      <c r="X60" s="350">
        <v>91.77</v>
      </c>
      <c r="Y60" s="352">
        <v>0.13</v>
      </c>
      <c r="Z60" s="349">
        <v>2.0299999999999998</v>
      </c>
      <c r="AA60" s="349">
        <v>91.15</v>
      </c>
      <c r="AB60" s="349">
        <v>7.0000000000000007E-2</v>
      </c>
      <c r="AC60" s="355">
        <v>0.28384526282408368</v>
      </c>
      <c r="AD60" s="355">
        <v>93.53375179689408</v>
      </c>
      <c r="AE60" s="353">
        <v>0.15455955815851113</v>
      </c>
      <c r="AF60" s="149">
        <v>1.47</v>
      </c>
      <c r="AG60" s="356">
        <v>94.99</v>
      </c>
      <c r="AH60" s="357">
        <v>1.1599999999999999</v>
      </c>
      <c r="AI60" s="357">
        <v>1.7319344057179189</v>
      </c>
      <c r="AJ60" s="357">
        <v>95.632827348268279</v>
      </c>
      <c r="AK60" s="357">
        <v>0.77319454811156763</v>
      </c>
      <c r="AL60" s="357">
        <v>1.76</v>
      </c>
      <c r="AM60" s="357">
        <v>93.83</v>
      </c>
      <c r="AN60" s="357">
        <v>0.31</v>
      </c>
      <c r="AO60" s="357">
        <v>1.5291608472627676</v>
      </c>
      <c r="AP60" s="357">
        <v>93.664740230429985</v>
      </c>
      <c r="AQ60" s="357">
        <v>0.22955146043676938</v>
      </c>
    </row>
    <row r="61" spans="1:43" x14ac:dyDescent="0.2">
      <c r="A61" s="208" t="s">
        <v>45</v>
      </c>
      <c r="B61" s="349">
        <v>28.7</v>
      </c>
      <c r="C61" s="349">
        <v>34.1</v>
      </c>
      <c r="D61" s="349">
        <v>36.6</v>
      </c>
      <c r="E61" s="349">
        <v>28</v>
      </c>
      <c r="F61" s="349">
        <v>61</v>
      </c>
      <c r="G61" s="349">
        <v>8.4</v>
      </c>
      <c r="H61" s="349">
        <v>17.2</v>
      </c>
      <c r="I61" s="349">
        <v>78.3</v>
      </c>
      <c r="J61" s="372">
        <v>2.5</v>
      </c>
      <c r="K61" s="360">
        <v>23.1</v>
      </c>
      <c r="L61" s="360">
        <v>71.2</v>
      </c>
      <c r="M61" s="360">
        <v>3.2</v>
      </c>
      <c r="N61" s="361">
        <v>25.1</v>
      </c>
      <c r="O61" s="360">
        <v>69.599999999999994</v>
      </c>
      <c r="P61" s="360">
        <v>3.9</v>
      </c>
      <c r="Q61" s="273">
        <v>23.51</v>
      </c>
      <c r="R61" s="350">
        <v>73.239999999999995</v>
      </c>
      <c r="S61" s="274">
        <v>2.87</v>
      </c>
      <c r="T61" s="349">
        <v>25.4</v>
      </c>
      <c r="U61" s="350">
        <v>71.400000000000006</v>
      </c>
      <c r="V61" s="274">
        <v>2.6</v>
      </c>
      <c r="W61" s="349">
        <v>17.690000000000001</v>
      </c>
      <c r="X61" s="350">
        <v>80.56</v>
      </c>
      <c r="Y61" s="352">
        <v>0.67</v>
      </c>
      <c r="Z61" s="349">
        <v>18.100000000000001</v>
      </c>
      <c r="AA61" s="349">
        <v>80.33</v>
      </c>
      <c r="AB61" s="349">
        <v>0.65</v>
      </c>
      <c r="AC61" s="355">
        <v>11.134510459623078</v>
      </c>
      <c r="AD61" s="355">
        <v>87.496817740271666</v>
      </c>
      <c r="AE61" s="353">
        <v>0.5694831328301172</v>
      </c>
      <c r="AF61" s="149">
        <v>8.23</v>
      </c>
      <c r="AG61" s="356">
        <v>90.28</v>
      </c>
      <c r="AH61" s="357">
        <v>0.53</v>
      </c>
      <c r="AI61" s="357">
        <v>6.2833067379029082</v>
      </c>
      <c r="AJ61" s="357">
        <v>92.477976839020798</v>
      </c>
      <c r="AK61" s="357">
        <v>0.68538876599201226</v>
      </c>
      <c r="AL61" s="357">
        <v>5.28</v>
      </c>
      <c r="AM61" s="357">
        <v>93.75</v>
      </c>
      <c r="AN61" s="357">
        <v>0.46</v>
      </c>
      <c r="AO61" s="357">
        <v>3.7179466736287261</v>
      </c>
      <c r="AP61" s="357">
        <v>95.42791461922954</v>
      </c>
      <c r="AQ61" s="357">
        <v>0.49976281639198944</v>
      </c>
    </row>
    <row r="62" spans="1:43" x14ac:dyDescent="0.2">
      <c r="A62" s="208" t="s">
        <v>46</v>
      </c>
      <c r="B62" s="349">
        <v>7</v>
      </c>
      <c r="C62" s="349">
        <v>68.2</v>
      </c>
      <c r="D62" s="349">
        <v>23.6</v>
      </c>
      <c r="E62" s="349">
        <v>2.2999999999999998</v>
      </c>
      <c r="F62" s="349">
        <v>87.2</v>
      </c>
      <c r="G62" s="349">
        <v>6.9</v>
      </c>
      <c r="H62" s="349">
        <v>5.5</v>
      </c>
      <c r="I62" s="349">
        <v>89.1</v>
      </c>
      <c r="J62" s="372">
        <v>1.8</v>
      </c>
      <c r="K62" s="360">
        <v>3.6</v>
      </c>
      <c r="L62" s="374">
        <v>86</v>
      </c>
      <c r="M62" s="360">
        <v>1.3</v>
      </c>
      <c r="N62" s="361">
        <v>7.3</v>
      </c>
      <c r="O62" s="360">
        <v>86.9</v>
      </c>
      <c r="P62" s="360">
        <v>1.3</v>
      </c>
      <c r="Q62" s="273">
        <v>5.49</v>
      </c>
      <c r="R62" s="350">
        <v>91.5</v>
      </c>
      <c r="S62" s="274">
        <v>1.26</v>
      </c>
      <c r="T62" s="349">
        <v>3.3</v>
      </c>
      <c r="U62" s="350">
        <v>94.6</v>
      </c>
      <c r="V62" s="274">
        <v>0.9</v>
      </c>
      <c r="W62" s="349">
        <v>2.29</v>
      </c>
      <c r="X62" s="350">
        <v>96.18</v>
      </c>
      <c r="Y62" s="352">
        <v>0.14000000000000001</v>
      </c>
      <c r="Z62" s="349">
        <v>2.31</v>
      </c>
      <c r="AA62" s="349">
        <v>96.64</v>
      </c>
      <c r="AB62" s="349">
        <v>0.37</v>
      </c>
      <c r="AC62" s="355">
        <v>0.9142477137971996</v>
      </c>
      <c r="AD62" s="355">
        <v>97.78258638483922</v>
      </c>
      <c r="AE62" s="353">
        <v>0.51936175163040466</v>
      </c>
      <c r="AF62" s="149">
        <v>0.42</v>
      </c>
      <c r="AG62" s="356">
        <v>97.48</v>
      </c>
      <c r="AH62" s="357">
        <v>0.6</v>
      </c>
      <c r="AI62" s="373">
        <v>4.7139006449476689E-2</v>
      </c>
      <c r="AJ62" s="357">
        <v>96.090441905281665</v>
      </c>
      <c r="AK62" s="357">
        <v>0.71384074469612213</v>
      </c>
      <c r="AL62" s="373">
        <v>0.03</v>
      </c>
      <c r="AM62" s="357">
        <v>95.27</v>
      </c>
      <c r="AN62" s="357">
        <v>0.98</v>
      </c>
      <c r="AO62" s="373">
        <v>1.8556356217239743E-2</v>
      </c>
      <c r="AP62" s="357">
        <v>97.74707015626295</v>
      </c>
      <c r="AQ62" s="357">
        <v>1.2091613917125816</v>
      </c>
    </row>
    <row r="63" spans="1:43" x14ac:dyDescent="0.2">
      <c r="A63" s="208" t="s">
        <v>47</v>
      </c>
      <c r="B63" s="349">
        <v>6.2</v>
      </c>
      <c r="C63" s="349">
        <v>59.6</v>
      </c>
      <c r="D63" s="349">
        <v>31</v>
      </c>
      <c r="E63" s="349">
        <v>3.8</v>
      </c>
      <c r="F63" s="349">
        <v>83.8</v>
      </c>
      <c r="G63" s="349">
        <v>7.1</v>
      </c>
      <c r="H63" s="349">
        <v>2.6</v>
      </c>
      <c r="I63" s="349">
        <v>91.8</v>
      </c>
      <c r="J63" s="372">
        <v>2.2999999999999998</v>
      </c>
      <c r="K63" s="360">
        <v>2.8</v>
      </c>
      <c r="L63" s="360">
        <v>88.3</v>
      </c>
      <c r="M63" s="360">
        <v>3.8</v>
      </c>
      <c r="N63" s="361">
        <v>3.6</v>
      </c>
      <c r="O63" s="360">
        <v>93.9</v>
      </c>
      <c r="P63" s="360">
        <v>1.4</v>
      </c>
      <c r="Q63" s="273">
        <v>3.76</v>
      </c>
      <c r="R63" s="350">
        <v>90.9</v>
      </c>
      <c r="S63" s="274">
        <v>1.26</v>
      </c>
      <c r="T63" s="349">
        <v>2.4</v>
      </c>
      <c r="U63" s="350">
        <v>93.9</v>
      </c>
      <c r="V63" s="274">
        <v>1</v>
      </c>
      <c r="W63" s="349">
        <v>1.1000000000000001</v>
      </c>
      <c r="X63" s="350">
        <v>96.76</v>
      </c>
      <c r="Y63" s="352">
        <v>0.7</v>
      </c>
      <c r="Z63" s="349">
        <v>1.51</v>
      </c>
      <c r="AA63" s="349">
        <v>94.51</v>
      </c>
      <c r="AB63" s="349">
        <v>0.79</v>
      </c>
      <c r="AC63" s="355">
        <v>1.6757391151539316</v>
      </c>
      <c r="AD63" s="355">
        <v>95.209733929947234</v>
      </c>
      <c r="AE63" s="353">
        <v>0.33830733151161141</v>
      </c>
      <c r="AF63" s="149">
        <v>2.82</v>
      </c>
      <c r="AG63" s="356">
        <v>94.51</v>
      </c>
      <c r="AH63" s="357">
        <v>0.43</v>
      </c>
      <c r="AI63" s="357">
        <v>2.8491682657006012</v>
      </c>
      <c r="AJ63" s="357">
        <v>92.122964229198558</v>
      </c>
      <c r="AK63" s="357">
        <v>0.52922877323175077</v>
      </c>
      <c r="AL63" s="357">
        <v>2.48</v>
      </c>
      <c r="AM63" s="357">
        <v>91.61</v>
      </c>
      <c r="AN63" s="357">
        <v>0.62</v>
      </c>
      <c r="AO63" s="357">
        <v>2.4110071615259558</v>
      </c>
      <c r="AP63" s="357">
        <v>91.369325783817928</v>
      </c>
      <c r="AQ63" s="357">
        <v>0.41633413912122275</v>
      </c>
    </row>
    <row r="64" spans="1:43" x14ac:dyDescent="0.2">
      <c r="A64" s="208" t="s">
        <v>48</v>
      </c>
      <c r="B64" s="349">
        <v>9.6999999999999993</v>
      </c>
      <c r="C64" s="349">
        <v>75.7</v>
      </c>
      <c r="D64" s="349">
        <v>5.6</v>
      </c>
      <c r="E64" s="349">
        <v>9.3000000000000007</v>
      </c>
      <c r="F64" s="349">
        <v>84.7</v>
      </c>
      <c r="G64" s="349">
        <v>3.5</v>
      </c>
      <c r="H64" s="349">
        <v>1.9</v>
      </c>
      <c r="I64" s="349">
        <v>92.6</v>
      </c>
      <c r="J64" s="372">
        <v>0.6</v>
      </c>
      <c r="K64" s="360">
        <v>3.6</v>
      </c>
      <c r="L64" s="360">
        <v>92.3</v>
      </c>
      <c r="M64" s="360">
        <v>1.1000000000000001</v>
      </c>
      <c r="N64" s="361">
        <v>6.2</v>
      </c>
      <c r="O64" s="360">
        <v>90.5</v>
      </c>
      <c r="P64" s="360">
        <v>0.6</v>
      </c>
      <c r="Q64" s="273">
        <v>5.34</v>
      </c>
      <c r="R64" s="350">
        <v>91.27</v>
      </c>
      <c r="S64" s="274">
        <v>0.61</v>
      </c>
      <c r="T64" s="349">
        <v>4.9000000000000004</v>
      </c>
      <c r="U64" s="350">
        <v>92</v>
      </c>
      <c r="V64" s="274">
        <v>0.7</v>
      </c>
      <c r="W64" s="349">
        <v>4.49</v>
      </c>
      <c r="X64" s="350">
        <v>92.63</v>
      </c>
      <c r="Y64" s="352">
        <v>0.57999999999999996</v>
      </c>
      <c r="Z64" s="349">
        <v>4.2699999999999996</v>
      </c>
      <c r="AA64" s="349">
        <v>91.78</v>
      </c>
      <c r="AB64" s="349">
        <v>0.55000000000000004</v>
      </c>
      <c r="AC64" s="355">
        <v>2.4438937521063768</v>
      </c>
      <c r="AD64" s="355">
        <v>92.293875098346064</v>
      </c>
      <c r="AE64" s="353">
        <v>2.366500805764602</v>
      </c>
      <c r="AF64" s="149">
        <v>3.33</v>
      </c>
      <c r="AG64" s="356">
        <v>92.13</v>
      </c>
      <c r="AH64" s="357">
        <v>0.85</v>
      </c>
      <c r="AI64" s="357">
        <v>2.55976696929618</v>
      </c>
      <c r="AJ64" s="357">
        <v>93.533672316991144</v>
      </c>
      <c r="AK64" s="357">
        <v>0.90337879285727707</v>
      </c>
      <c r="AL64" s="357">
        <v>2.99</v>
      </c>
      <c r="AM64" s="357">
        <v>93.38</v>
      </c>
      <c r="AN64" s="357">
        <v>1.1100000000000001</v>
      </c>
      <c r="AO64" s="357">
        <v>3.664691663014223</v>
      </c>
      <c r="AP64" s="357">
        <v>93.001157420541972</v>
      </c>
      <c r="AQ64" s="357">
        <v>1.0269442479294166</v>
      </c>
    </row>
    <row r="65" spans="1:43" x14ac:dyDescent="0.2">
      <c r="A65" s="208" t="s">
        <v>49</v>
      </c>
      <c r="B65" s="349">
        <v>2.2000000000000002</v>
      </c>
      <c r="C65" s="349">
        <v>76.7</v>
      </c>
      <c r="D65" s="349">
        <v>18.7</v>
      </c>
      <c r="E65" s="349">
        <v>0.6</v>
      </c>
      <c r="F65" s="349">
        <v>93.4</v>
      </c>
      <c r="G65" s="349">
        <v>4.7</v>
      </c>
      <c r="H65" s="383">
        <v>0.02</v>
      </c>
      <c r="I65" s="349">
        <v>93.2</v>
      </c>
      <c r="J65" s="372">
        <v>1.9</v>
      </c>
      <c r="K65" s="360">
        <v>0.1</v>
      </c>
      <c r="L65" s="360">
        <v>90.9</v>
      </c>
      <c r="M65" s="360">
        <v>1.8</v>
      </c>
      <c r="N65" s="361">
        <v>0.04</v>
      </c>
      <c r="O65" s="360">
        <v>89.6</v>
      </c>
      <c r="P65" s="360">
        <v>1.6</v>
      </c>
      <c r="Q65" s="384">
        <v>0.01</v>
      </c>
      <c r="R65" s="350">
        <v>92.55</v>
      </c>
      <c r="S65" s="274">
        <v>0.7</v>
      </c>
      <c r="T65" s="385">
        <v>0.1</v>
      </c>
      <c r="U65" s="350">
        <v>96.5</v>
      </c>
      <c r="V65" s="274">
        <v>0.9</v>
      </c>
      <c r="W65" s="352">
        <v>0.18</v>
      </c>
      <c r="X65" s="350">
        <v>94.36</v>
      </c>
      <c r="Y65" s="352">
        <v>1.1100000000000001</v>
      </c>
      <c r="Z65" s="349">
        <v>0.08</v>
      </c>
      <c r="AA65" s="349">
        <v>95.32</v>
      </c>
      <c r="AB65" s="349">
        <v>0.56000000000000005</v>
      </c>
      <c r="AC65" s="355">
        <v>1.9162293174500338E-2</v>
      </c>
      <c r="AD65" s="355">
        <v>95.345140927261966</v>
      </c>
      <c r="AE65" s="353">
        <v>0.72618481403574442</v>
      </c>
      <c r="AF65" s="152">
        <v>0.01</v>
      </c>
      <c r="AG65" s="356">
        <v>94.88</v>
      </c>
      <c r="AH65" s="357">
        <v>0.95</v>
      </c>
      <c r="AI65" s="373">
        <v>4.6837845653713503E-2</v>
      </c>
      <c r="AJ65" s="357">
        <v>93.481262867114651</v>
      </c>
      <c r="AK65" s="357">
        <v>0.80515085935338526</v>
      </c>
      <c r="AL65" s="357">
        <v>1.1499999999999999</v>
      </c>
      <c r="AM65" s="357">
        <v>92.37</v>
      </c>
      <c r="AN65" s="357">
        <v>0.98</v>
      </c>
      <c r="AO65" s="357">
        <v>0.9957004055737203</v>
      </c>
      <c r="AP65" s="357">
        <v>94.010641091227654</v>
      </c>
      <c r="AQ65" s="357">
        <v>0.77890440880828349</v>
      </c>
    </row>
    <row r="66" spans="1:43" x14ac:dyDescent="0.2">
      <c r="A66" s="208" t="s">
        <v>50</v>
      </c>
      <c r="B66" s="349">
        <v>10.7</v>
      </c>
      <c r="C66" s="349">
        <v>49.3</v>
      </c>
      <c r="D66" s="349">
        <v>33.700000000000003</v>
      </c>
      <c r="E66" s="349">
        <v>1.7</v>
      </c>
      <c r="F66" s="349">
        <v>79</v>
      </c>
      <c r="G66" s="349">
        <v>16.600000000000001</v>
      </c>
      <c r="H66" s="349">
        <v>1.4</v>
      </c>
      <c r="I66" s="349">
        <v>92.2</v>
      </c>
      <c r="J66" s="372">
        <v>1.8</v>
      </c>
      <c r="K66" s="360">
        <v>1.6</v>
      </c>
      <c r="L66" s="360">
        <v>92.3</v>
      </c>
      <c r="M66" s="360">
        <v>1.4</v>
      </c>
      <c r="N66" s="361">
        <v>3.7</v>
      </c>
      <c r="O66" s="359">
        <v>90</v>
      </c>
      <c r="P66" s="360">
        <v>0.6</v>
      </c>
      <c r="Q66" s="273">
        <v>2.4500000000000002</v>
      </c>
      <c r="R66" s="350">
        <v>91.34</v>
      </c>
      <c r="S66" s="274">
        <v>1.18</v>
      </c>
      <c r="T66" s="349">
        <v>2.2000000000000002</v>
      </c>
      <c r="U66" s="350">
        <v>96.5</v>
      </c>
      <c r="V66" s="274">
        <v>0.5</v>
      </c>
      <c r="W66" s="349">
        <v>1.19</v>
      </c>
      <c r="X66" s="350">
        <v>98.16</v>
      </c>
      <c r="Y66" s="352">
        <v>0.49</v>
      </c>
      <c r="Z66" s="352">
        <v>1.61</v>
      </c>
      <c r="AA66" s="352">
        <v>96.28</v>
      </c>
      <c r="AB66" s="352">
        <v>0.43</v>
      </c>
      <c r="AC66" s="148">
        <v>1.9842288627592364</v>
      </c>
      <c r="AD66" s="148">
        <v>95.914759013285206</v>
      </c>
      <c r="AE66" s="353">
        <v>0.20143305565143749</v>
      </c>
      <c r="AF66" s="149">
        <v>0.71</v>
      </c>
      <c r="AG66" s="150">
        <v>98.61</v>
      </c>
      <c r="AH66" s="151">
        <v>0.19</v>
      </c>
      <c r="AI66" s="151">
        <v>1.4342418038418203</v>
      </c>
      <c r="AJ66" s="151">
        <v>98.115007400872372</v>
      </c>
      <c r="AK66" s="151">
        <v>0.15337739426749844</v>
      </c>
      <c r="AL66" s="151">
        <v>2.2999999999999998</v>
      </c>
      <c r="AM66" s="151">
        <v>97.37</v>
      </c>
      <c r="AN66" s="151">
        <v>0.19</v>
      </c>
      <c r="AO66" s="151">
        <v>2.1027310471942768</v>
      </c>
      <c r="AP66" s="151">
        <v>97.659105517289106</v>
      </c>
      <c r="AQ66" s="151">
        <v>0.14550568116446441</v>
      </c>
    </row>
    <row r="67" spans="1:43" x14ac:dyDescent="0.2">
      <c r="A67" s="208" t="s">
        <v>51</v>
      </c>
      <c r="B67" s="349">
        <v>12</v>
      </c>
      <c r="C67" s="349">
        <v>70.2</v>
      </c>
      <c r="D67" s="349">
        <v>16.3</v>
      </c>
      <c r="E67" s="349">
        <v>5.7</v>
      </c>
      <c r="F67" s="349">
        <v>77.099999999999994</v>
      </c>
      <c r="G67" s="349">
        <v>3.1</v>
      </c>
      <c r="H67" s="349">
        <v>2.1</v>
      </c>
      <c r="I67" s="349">
        <v>94.1</v>
      </c>
      <c r="J67" s="372">
        <v>2.2999999999999998</v>
      </c>
      <c r="K67" s="360">
        <v>1.1000000000000001</v>
      </c>
      <c r="L67" s="360">
        <v>89.5</v>
      </c>
      <c r="M67" s="360">
        <v>2.9</v>
      </c>
      <c r="N67" s="361">
        <v>1.2</v>
      </c>
      <c r="O67" s="360">
        <v>96.7</v>
      </c>
      <c r="P67" s="360">
        <v>0.5</v>
      </c>
      <c r="Q67" s="273">
        <v>0.63</v>
      </c>
      <c r="R67" s="350">
        <v>96.21</v>
      </c>
      <c r="S67" s="274">
        <v>0.96</v>
      </c>
      <c r="T67" s="349">
        <v>0.4</v>
      </c>
      <c r="U67" s="350">
        <v>98.3</v>
      </c>
      <c r="V67" s="274">
        <v>0.8</v>
      </c>
      <c r="W67" s="383">
        <v>0.02</v>
      </c>
      <c r="X67" s="350">
        <v>94.08</v>
      </c>
      <c r="Y67" s="352">
        <v>1.04</v>
      </c>
      <c r="Z67" s="383">
        <v>0.01</v>
      </c>
      <c r="AA67" s="349">
        <v>98.65</v>
      </c>
      <c r="AB67" s="349">
        <v>0.84</v>
      </c>
      <c r="AC67" s="355">
        <v>1.671805698337522E-2</v>
      </c>
      <c r="AD67" s="355">
        <v>99.298983678717505</v>
      </c>
      <c r="AE67" s="353">
        <v>0.60974442867439871</v>
      </c>
      <c r="AF67" s="149" t="s">
        <v>90</v>
      </c>
      <c r="AG67" s="356">
        <v>99.35</v>
      </c>
      <c r="AH67" s="357">
        <v>0.63</v>
      </c>
      <c r="AI67" s="357">
        <v>3.0214786779511104E-3</v>
      </c>
      <c r="AJ67" s="357">
        <v>99.548085888149345</v>
      </c>
      <c r="AK67" s="357">
        <v>0.43404064795520853</v>
      </c>
      <c r="AL67" s="357" t="s">
        <v>90</v>
      </c>
      <c r="AM67" s="357">
        <v>98.87</v>
      </c>
      <c r="AN67" s="357">
        <v>1.1100000000000001</v>
      </c>
      <c r="AO67" s="373">
        <v>1.0049449755284632E-2</v>
      </c>
      <c r="AP67" s="357">
        <v>98.409088863205739</v>
      </c>
      <c r="AQ67" s="357">
        <v>1.5157795076780984</v>
      </c>
    </row>
    <row r="68" spans="1:43" x14ac:dyDescent="0.2">
      <c r="A68" s="208" t="s">
        <v>52</v>
      </c>
      <c r="B68" s="349">
        <v>8.3000000000000007</v>
      </c>
      <c r="C68" s="349">
        <v>65.900000000000006</v>
      </c>
      <c r="D68" s="349">
        <v>24.1</v>
      </c>
      <c r="E68" s="349">
        <v>1.9</v>
      </c>
      <c r="F68" s="349">
        <v>93.1</v>
      </c>
      <c r="G68" s="349">
        <v>1.3</v>
      </c>
      <c r="H68" s="349">
        <v>0.8</v>
      </c>
      <c r="I68" s="349">
        <v>96.6</v>
      </c>
      <c r="J68" s="372">
        <v>0.9</v>
      </c>
      <c r="K68" s="360">
        <v>0.4</v>
      </c>
      <c r="L68" s="360">
        <v>97.2</v>
      </c>
      <c r="M68" s="360">
        <v>1.2</v>
      </c>
      <c r="N68" s="361">
        <v>0.01</v>
      </c>
      <c r="O68" s="360">
        <v>97.8</v>
      </c>
      <c r="P68" s="360">
        <v>0.7</v>
      </c>
      <c r="Q68" s="273">
        <v>0.48</v>
      </c>
      <c r="R68" s="350">
        <v>94.38</v>
      </c>
      <c r="S68" s="274">
        <v>0.45</v>
      </c>
      <c r="T68" s="349">
        <v>1.2</v>
      </c>
      <c r="U68" s="350">
        <v>94.7</v>
      </c>
      <c r="V68" s="274">
        <v>0.2</v>
      </c>
      <c r="W68" s="349">
        <v>0.32</v>
      </c>
      <c r="X68" s="350">
        <v>97.34</v>
      </c>
      <c r="Y68" s="352">
        <v>0.12</v>
      </c>
      <c r="Z68" s="349">
        <v>0.12</v>
      </c>
      <c r="AA68" s="349">
        <v>97.2</v>
      </c>
      <c r="AB68" s="349">
        <v>0.14000000000000001</v>
      </c>
      <c r="AC68" s="355">
        <v>5.8285408511981371E-2</v>
      </c>
      <c r="AD68" s="355">
        <v>99.113698983099226</v>
      </c>
      <c r="AE68" s="353">
        <v>0.19876251917669988</v>
      </c>
      <c r="AF68" s="152">
        <v>0.04</v>
      </c>
      <c r="AG68" s="356">
        <v>99.08</v>
      </c>
      <c r="AH68" s="357">
        <v>0.23</v>
      </c>
      <c r="AI68" s="357">
        <v>4.6459354349360597E-3</v>
      </c>
      <c r="AJ68" s="357">
        <v>98.716165416274038</v>
      </c>
      <c r="AK68" s="357">
        <v>0.32272376451285184</v>
      </c>
      <c r="AL68" s="373">
        <v>0.03</v>
      </c>
      <c r="AM68" s="357">
        <v>98.74</v>
      </c>
      <c r="AN68" s="357">
        <v>0.38</v>
      </c>
      <c r="AO68" s="357">
        <v>2.8920129041478805E-3</v>
      </c>
      <c r="AP68" s="357">
        <v>98.820842688901024</v>
      </c>
      <c r="AQ68" s="357">
        <v>0.19132388980791137</v>
      </c>
    </row>
    <row r="69" spans="1:43" x14ac:dyDescent="0.2">
      <c r="A69" s="208" t="s">
        <v>53</v>
      </c>
      <c r="B69" s="349">
        <v>17.2</v>
      </c>
      <c r="C69" s="349">
        <v>72.8</v>
      </c>
      <c r="D69" s="349">
        <v>7.9</v>
      </c>
      <c r="E69" s="349">
        <v>7.1</v>
      </c>
      <c r="F69" s="349">
        <v>68.900000000000006</v>
      </c>
      <c r="G69" s="349">
        <v>21.9</v>
      </c>
      <c r="H69" s="349">
        <v>6</v>
      </c>
      <c r="I69" s="349">
        <v>90.7</v>
      </c>
      <c r="J69" s="372">
        <v>1.7</v>
      </c>
      <c r="K69" s="360">
        <v>7.5</v>
      </c>
      <c r="L69" s="360">
        <v>89.1</v>
      </c>
      <c r="M69" s="374">
        <v>2</v>
      </c>
      <c r="N69" s="361">
        <v>6.4</v>
      </c>
      <c r="O69" s="360">
        <v>82.6</v>
      </c>
      <c r="P69" s="360">
        <v>2.5</v>
      </c>
      <c r="Q69" s="273">
        <v>7.51</v>
      </c>
      <c r="R69" s="350">
        <v>83.96</v>
      </c>
      <c r="S69" s="274">
        <v>2.04</v>
      </c>
      <c r="T69" s="349">
        <v>3.5</v>
      </c>
      <c r="U69" s="350">
        <v>94.1</v>
      </c>
      <c r="V69" s="274">
        <v>1.1000000000000001</v>
      </c>
      <c r="W69" s="349">
        <v>3.01</v>
      </c>
      <c r="X69" s="350">
        <v>89.23</v>
      </c>
      <c r="Y69" s="352">
        <v>0.36</v>
      </c>
      <c r="Z69" s="349">
        <v>2.6</v>
      </c>
      <c r="AA69" s="349">
        <v>92.01</v>
      </c>
      <c r="AB69" s="349">
        <v>1.17</v>
      </c>
      <c r="AC69" s="355">
        <v>3.3754504369360427</v>
      </c>
      <c r="AD69" s="355">
        <v>91.407226460238618</v>
      </c>
      <c r="AE69" s="353">
        <v>1.502221056574943</v>
      </c>
      <c r="AF69" s="149">
        <v>1.88</v>
      </c>
      <c r="AG69" s="356">
        <v>97.43</v>
      </c>
      <c r="AH69" s="357">
        <v>0.08</v>
      </c>
      <c r="AI69" s="357">
        <v>1.5767633619804859</v>
      </c>
      <c r="AJ69" s="357">
        <v>94.479326766458499</v>
      </c>
      <c r="AK69" s="357">
        <v>9.9536699937961298E-2</v>
      </c>
      <c r="AL69" s="357">
        <v>3.93</v>
      </c>
      <c r="AM69" s="357">
        <v>95.33</v>
      </c>
      <c r="AN69" s="357">
        <v>0.13</v>
      </c>
      <c r="AO69" s="357">
        <v>1.7461050684244261</v>
      </c>
      <c r="AP69" s="357">
        <v>98.098180262334438</v>
      </c>
      <c r="AQ69" s="357">
        <v>5.5197107430012479E-2</v>
      </c>
    </row>
    <row r="70" spans="1:43" x14ac:dyDescent="0.2">
      <c r="A70" s="208" t="s">
        <v>54</v>
      </c>
      <c r="B70" s="349">
        <v>11.2</v>
      </c>
      <c r="C70" s="349">
        <v>38.299999999999997</v>
      </c>
      <c r="D70" s="349">
        <v>43</v>
      </c>
      <c r="E70" s="349">
        <v>3.9</v>
      </c>
      <c r="F70" s="349">
        <v>80.400000000000006</v>
      </c>
      <c r="G70" s="349">
        <v>14.3</v>
      </c>
      <c r="H70" s="349">
        <v>1.3</v>
      </c>
      <c r="I70" s="349">
        <v>93.9</v>
      </c>
      <c r="J70" s="372">
        <v>3.3</v>
      </c>
      <c r="K70" s="360">
        <v>1.6</v>
      </c>
      <c r="L70" s="360">
        <v>94.4</v>
      </c>
      <c r="M70" s="360">
        <v>1.9</v>
      </c>
      <c r="N70" s="361">
        <v>3.6</v>
      </c>
      <c r="O70" s="374">
        <v>92</v>
      </c>
      <c r="P70" s="360">
        <v>2.2000000000000002</v>
      </c>
      <c r="Q70" s="273">
        <v>0.73</v>
      </c>
      <c r="R70" s="350">
        <v>94.98</v>
      </c>
      <c r="S70" s="274">
        <v>2.17</v>
      </c>
      <c r="T70" s="349">
        <v>0.5</v>
      </c>
      <c r="U70" s="350">
        <v>98.2</v>
      </c>
      <c r="V70" s="274">
        <v>0.4</v>
      </c>
      <c r="W70" s="349">
        <v>1.4</v>
      </c>
      <c r="X70" s="350">
        <v>96.25</v>
      </c>
      <c r="Y70" s="352">
        <v>0.73</v>
      </c>
      <c r="Z70" s="349">
        <v>4.01</v>
      </c>
      <c r="AA70" s="349">
        <v>93.65</v>
      </c>
      <c r="AB70" s="349">
        <v>0.22</v>
      </c>
      <c r="AC70" s="355">
        <v>6.3124963974771173</v>
      </c>
      <c r="AD70" s="355">
        <v>93.249208909220656</v>
      </c>
      <c r="AE70" s="353">
        <v>2.5256252217362194E-2</v>
      </c>
      <c r="AF70" s="149">
        <v>4.8099999999999996</v>
      </c>
      <c r="AG70" s="356">
        <v>94.65</v>
      </c>
      <c r="AH70" s="357">
        <v>0.18</v>
      </c>
      <c r="AI70" s="373">
        <v>2.9063266200861106E-2</v>
      </c>
      <c r="AJ70" s="357">
        <v>99.197285809237144</v>
      </c>
      <c r="AK70" s="357">
        <v>0.17804005069887238</v>
      </c>
      <c r="AL70" s="357">
        <v>0.05</v>
      </c>
      <c r="AM70" s="357">
        <v>98.46</v>
      </c>
      <c r="AN70" s="357">
        <v>0.06</v>
      </c>
      <c r="AO70" s="373">
        <v>3.6150422356479223E-2</v>
      </c>
      <c r="AP70" s="357">
        <v>98.845496808949747</v>
      </c>
      <c r="AQ70" s="373">
        <v>4.0461621232878116E-2</v>
      </c>
    </row>
    <row r="71" spans="1:43" ht="18.75" x14ac:dyDescent="0.2">
      <c r="A71" s="259" t="s">
        <v>107</v>
      </c>
      <c r="B71" s="365">
        <v>4.9000000000000004</v>
      </c>
      <c r="C71" s="365">
        <v>73.8</v>
      </c>
      <c r="D71" s="365">
        <v>17.899999999999999</v>
      </c>
      <c r="E71" s="365">
        <v>4.7</v>
      </c>
      <c r="F71" s="365">
        <v>85</v>
      </c>
      <c r="G71" s="365">
        <v>6.9</v>
      </c>
      <c r="H71" s="365">
        <v>2.4</v>
      </c>
      <c r="I71" s="365">
        <v>93.8</v>
      </c>
      <c r="J71" s="366">
        <v>1.8</v>
      </c>
      <c r="K71" s="367">
        <v>2.2999999999999998</v>
      </c>
      <c r="L71" s="367">
        <v>92.5</v>
      </c>
      <c r="M71" s="367">
        <v>1.9</v>
      </c>
      <c r="N71" s="256">
        <v>2.5</v>
      </c>
      <c r="O71" s="367">
        <v>92.5</v>
      </c>
      <c r="P71" s="367">
        <v>1.3</v>
      </c>
      <c r="Q71" s="258">
        <v>1.98</v>
      </c>
      <c r="R71" s="368">
        <v>90.67</v>
      </c>
      <c r="S71" s="263">
        <v>1.27</v>
      </c>
      <c r="T71" s="365">
        <v>1.6</v>
      </c>
      <c r="U71" s="368">
        <v>88.4</v>
      </c>
      <c r="V71" s="263">
        <v>1.4</v>
      </c>
      <c r="W71" s="365">
        <v>1.2</v>
      </c>
      <c r="X71" s="368">
        <v>89.5</v>
      </c>
      <c r="Y71" s="369">
        <v>1.1000000000000001</v>
      </c>
      <c r="Z71" s="365">
        <v>1.18</v>
      </c>
      <c r="AA71" s="365">
        <v>89.85</v>
      </c>
      <c r="AB71" s="365">
        <v>0.48</v>
      </c>
      <c r="AC71" s="380">
        <v>1.2635290232832741</v>
      </c>
      <c r="AD71" s="380">
        <v>90.58670009773158</v>
      </c>
      <c r="AE71" s="370">
        <v>0.35992457664793609</v>
      </c>
      <c r="AF71" s="140">
        <v>1.07</v>
      </c>
      <c r="AG71" s="381">
        <v>91.86</v>
      </c>
      <c r="AH71" s="382">
        <v>0.26</v>
      </c>
      <c r="AI71" s="382">
        <v>1.3</v>
      </c>
      <c r="AJ71" s="382">
        <v>92.9</v>
      </c>
      <c r="AK71" s="382">
        <v>0.3</v>
      </c>
      <c r="AL71" s="382">
        <v>0.9</v>
      </c>
      <c r="AM71" s="382">
        <v>97</v>
      </c>
      <c r="AN71" s="382">
        <v>0.2</v>
      </c>
      <c r="AO71" s="382">
        <v>0.91470576408958371</v>
      </c>
      <c r="AP71" s="382">
        <v>96.638411564008649</v>
      </c>
      <c r="AQ71" s="382">
        <v>0.21384639726614108</v>
      </c>
    </row>
    <row r="72" spans="1:43" x14ac:dyDescent="0.2">
      <c r="A72" s="208" t="s">
        <v>55</v>
      </c>
      <c r="B72" s="349">
        <v>24.6</v>
      </c>
      <c r="C72" s="349">
        <v>59.5</v>
      </c>
      <c r="D72" s="349">
        <v>10.9</v>
      </c>
      <c r="E72" s="349">
        <v>20.100000000000001</v>
      </c>
      <c r="F72" s="349">
        <v>73.5</v>
      </c>
      <c r="G72" s="349">
        <v>3.4</v>
      </c>
      <c r="H72" s="349">
        <v>7.8</v>
      </c>
      <c r="I72" s="349">
        <v>87.1</v>
      </c>
      <c r="J72" s="372">
        <v>2</v>
      </c>
      <c r="K72" s="360">
        <v>11.1</v>
      </c>
      <c r="L72" s="360">
        <v>85.2</v>
      </c>
      <c r="M72" s="360">
        <v>1.2</v>
      </c>
      <c r="N72" s="361">
        <v>11.8</v>
      </c>
      <c r="O72" s="360">
        <v>84.5</v>
      </c>
      <c r="P72" s="360">
        <v>1.4</v>
      </c>
      <c r="Q72" s="273">
        <v>9.0299999999999994</v>
      </c>
      <c r="R72" s="350">
        <v>87.38</v>
      </c>
      <c r="S72" s="274">
        <v>1.05</v>
      </c>
      <c r="T72" s="349">
        <v>13.1</v>
      </c>
      <c r="U72" s="350">
        <v>83.2</v>
      </c>
      <c r="V72" s="274">
        <v>1.2</v>
      </c>
      <c r="W72" s="349">
        <v>10.51</v>
      </c>
      <c r="X72" s="350">
        <v>85.56</v>
      </c>
      <c r="Y72" s="352">
        <v>1.86</v>
      </c>
      <c r="Z72" s="349">
        <v>11.22</v>
      </c>
      <c r="AA72" s="349">
        <v>84.66</v>
      </c>
      <c r="AB72" s="349">
        <v>2.34</v>
      </c>
      <c r="AC72" s="355">
        <v>8.8969965264958706</v>
      </c>
      <c r="AD72" s="355">
        <v>88.102072324126169</v>
      </c>
      <c r="AE72" s="353">
        <v>1.4308097918098066</v>
      </c>
      <c r="AF72" s="149">
        <v>6.54</v>
      </c>
      <c r="AG72" s="356">
        <v>90.39</v>
      </c>
      <c r="AH72" s="386">
        <v>2.04</v>
      </c>
      <c r="AI72" s="357">
        <v>5.912406450722985</v>
      </c>
      <c r="AJ72" s="357">
        <v>90.062504186094259</v>
      </c>
      <c r="AK72" s="357">
        <v>1.6272441792691088</v>
      </c>
      <c r="AL72" s="357">
        <v>7.12</v>
      </c>
      <c r="AM72" s="357">
        <v>88.47</v>
      </c>
      <c r="AN72" s="357">
        <v>1.52</v>
      </c>
      <c r="AO72" s="357">
        <v>7.0560604831889098</v>
      </c>
      <c r="AP72" s="357">
        <v>89.382792773846163</v>
      </c>
      <c r="AQ72" s="357">
        <v>1.5721850858935997</v>
      </c>
    </row>
    <row r="73" spans="1:43" x14ac:dyDescent="0.2">
      <c r="A73" s="208" t="s">
        <v>56</v>
      </c>
      <c r="B73" s="349">
        <v>16.8</v>
      </c>
      <c r="C73" s="349">
        <v>64.099999999999994</v>
      </c>
      <c r="D73" s="349">
        <v>13.3</v>
      </c>
      <c r="E73" s="349">
        <v>10.9</v>
      </c>
      <c r="F73" s="349">
        <v>79.2</v>
      </c>
      <c r="G73" s="349">
        <v>5.9</v>
      </c>
      <c r="H73" s="349">
        <v>7.4</v>
      </c>
      <c r="I73" s="349">
        <v>88.8</v>
      </c>
      <c r="J73" s="372">
        <v>2.1</v>
      </c>
      <c r="K73" s="359">
        <v>7</v>
      </c>
      <c r="L73" s="360">
        <v>88.6</v>
      </c>
      <c r="M73" s="360">
        <v>0.9</v>
      </c>
      <c r="N73" s="361">
        <v>6.6</v>
      </c>
      <c r="O73" s="360">
        <v>90.3</v>
      </c>
      <c r="P73" s="360">
        <v>1.4</v>
      </c>
      <c r="Q73" s="273">
        <v>4.21</v>
      </c>
      <c r="R73" s="350">
        <v>91.54</v>
      </c>
      <c r="S73" s="274">
        <v>1.87</v>
      </c>
      <c r="T73" s="349">
        <v>2.6</v>
      </c>
      <c r="U73" s="350">
        <v>93.3</v>
      </c>
      <c r="V73" s="274">
        <v>1.1000000000000001</v>
      </c>
      <c r="W73" s="349">
        <v>1.33</v>
      </c>
      <c r="X73" s="350">
        <v>97.06</v>
      </c>
      <c r="Y73" s="352">
        <v>0.63</v>
      </c>
      <c r="Z73" s="349">
        <v>0.59</v>
      </c>
      <c r="AA73" s="349">
        <v>97.41</v>
      </c>
      <c r="AB73" s="349">
        <v>0.57999999999999996</v>
      </c>
      <c r="AC73" s="355">
        <v>0.71329944505660625</v>
      </c>
      <c r="AD73" s="355">
        <v>97.401120361565916</v>
      </c>
      <c r="AE73" s="353">
        <v>0.10168262971245355</v>
      </c>
      <c r="AF73" s="356">
        <v>0.82</v>
      </c>
      <c r="AG73" s="356">
        <v>98.43</v>
      </c>
      <c r="AH73" s="386">
        <v>0.12</v>
      </c>
      <c r="AI73" s="357">
        <v>1.047723667745635</v>
      </c>
      <c r="AJ73" s="357">
        <v>97.610575028314756</v>
      </c>
      <c r="AK73" s="357">
        <v>0.14481214677689763</v>
      </c>
      <c r="AL73" s="357">
        <v>0.73</v>
      </c>
      <c r="AM73" s="357">
        <v>98.15</v>
      </c>
      <c r="AN73" s="357">
        <v>0.16</v>
      </c>
      <c r="AO73" s="357">
        <v>0.69853458776801913</v>
      </c>
      <c r="AP73" s="357">
        <v>98.300506933355337</v>
      </c>
      <c r="AQ73" s="357">
        <v>0.1993041382990379</v>
      </c>
    </row>
    <row r="74" spans="1:43" x14ac:dyDescent="0.2">
      <c r="A74" s="208" t="s">
        <v>57</v>
      </c>
      <c r="B74" s="349">
        <v>2.2000000000000002</v>
      </c>
      <c r="C74" s="349">
        <v>75.5</v>
      </c>
      <c r="D74" s="349">
        <v>19.3</v>
      </c>
      <c r="E74" s="349">
        <v>3.2</v>
      </c>
      <c r="F74" s="349">
        <v>85.7</v>
      </c>
      <c r="G74" s="349">
        <v>7.8</v>
      </c>
      <c r="H74" s="349">
        <v>1.4</v>
      </c>
      <c r="I74" s="349">
        <v>94.7</v>
      </c>
      <c r="J74" s="372">
        <v>1.7</v>
      </c>
      <c r="K74" s="360">
        <v>1.2</v>
      </c>
      <c r="L74" s="359">
        <v>93</v>
      </c>
      <c r="M74" s="360">
        <v>2.2000000000000002</v>
      </c>
      <c r="N74" s="361">
        <v>1.7</v>
      </c>
      <c r="O74" s="360">
        <v>92.7</v>
      </c>
      <c r="P74" s="360">
        <v>1.3</v>
      </c>
      <c r="Q74" s="273">
        <v>1.51</v>
      </c>
      <c r="R74" s="350">
        <v>90.19</v>
      </c>
      <c r="S74" s="274">
        <v>1.1499999999999999</v>
      </c>
      <c r="T74" s="349">
        <v>1.2</v>
      </c>
      <c r="U74" s="350">
        <v>87.1</v>
      </c>
      <c r="V74" s="274">
        <v>1.3</v>
      </c>
      <c r="W74" s="349">
        <v>1.1200000000000001</v>
      </c>
      <c r="X74" s="350">
        <v>85.58</v>
      </c>
      <c r="Y74" s="352">
        <v>1.3</v>
      </c>
      <c r="Z74" s="349">
        <v>1.35</v>
      </c>
      <c r="AA74" s="349">
        <v>85.5</v>
      </c>
      <c r="AB74" s="349">
        <v>0.41</v>
      </c>
      <c r="AC74" s="355">
        <v>1.4379384798009216</v>
      </c>
      <c r="AD74" s="355">
        <v>86.971909297915161</v>
      </c>
      <c r="AE74" s="353">
        <v>0.42009253664139795</v>
      </c>
      <c r="AF74" s="356">
        <v>1.1200000000000001</v>
      </c>
      <c r="AG74" s="356">
        <v>89.85</v>
      </c>
      <c r="AH74" s="386">
        <v>0.23</v>
      </c>
      <c r="AI74" s="357">
        <v>1.3289878564944577</v>
      </c>
      <c r="AJ74" s="357">
        <v>91.321010026803378</v>
      </c>
      <c r="AK74" s="357">
        <v>0.2922453404764675</v>
      </c>
      <c r="AL74" s="357">
        <v>0.85</v>
      </c>
      <c r="AM74" s="357">
        <v>96.72</v>
      </c>
      <c r="AN74" s="357">
        <v>0.2</v>
      </c>
      <c r="AO74" s="357">
        <v>0.89510656071612982</v>
      </c>
      <c r="AP74" s="357">
        <v>96.169196378615652</v>
      </c>
      <c r="AQ74" s="357">
        <v>0.16961505010980227</v>
      </c>
    </row>
    <row r="75" spans="1:43" x14ac:dyDescent="0.2">
      <c r="A75" s="342" t="s">
        <v>58</v>
      </c>
      <c r="B75" s="349"/>
      <c r="C75" s="349"/>
      <c r="D75" s="349"/>
      <c r="E75" s="349"/>
      <c r="F75" s="349"/>
      <c r="G75" s="349"/>
      <c r="H75" s="349"/>
      <c r="I75" s="349"/>
      <c r="J75" s="372"/>
      <c r="K75" s="381"/>
      <c r="L75" s="381"/>
      <c r="M75" s="381"/>
      <c r="N75" s="387"/>
      <c r="O75" s="381"/>
      <c r="P75" s="381"/>
      <c r="Q75" s="273"/>
      <c r="R75" s="350"/>
      <c r="S75" s="274"/>
      <c r="T75" s="349"/>
      <c r="U75" s="350"/>
      <c r="V75" s="274"/>
      <c r="W75" s="349"/>
      <c r="X75" s="350"/>
      <c r="Y75" s="357"/>
      <c r="Z75" s="388"/>
      <c r="AA75" s="388"/>
      <c r="AB75" s="388"/>
      <c r="AC75" s="388"/>
      <c r="AD75" s="388"/>
      <c r="AE75" s="421"/>
      <c r="AF75" s="356"/>
      <c r="AG75" s="356"/>
      <c r="AH75" s="388"/>
      <c r="AJ75" s="357"/>
      <c r="AK75" s="357"/>
      <c r="AL75" s="357"/>
      <c r="AM75" s="357"/>
      <c r="AN75" s="357"/>
      <c r="AO75" s="373"/>
      <c r="AP75" s="357"/>
      <c r="AQ75" s="357"/>
    </row>
    <row r="76" spans="1:43" ht="19.5" x14ac:dyDescent="0.2">
      <c r="A76" s="345" t="s">
        <v>85</v>
      </c>
      <c r="B76" s="349">
        <v>1.9</v>
      </c>
      <c r="C76" s="349">
        <v>78.599999999999994</v>
      </c>
      <c r="D76" s="349">
        <v>15.5</v>
      </c>
      <c r="E76" s="349">
        <v>1.6</v>
      </c>
      <c r="F76" s="349">
        <v>88.4</v>
      </c>
      <c r="G76" s="349">
        <v>8.1999999999999993</v>
      </c>
      <c r="H76" s="349">
        <v>0.7</v>
      </c>
      <c r="I76" s="349">
        <v>94.9</v>
      </c>
      <c r="J76" s="372">
        <v>2.9</v>
      </c>
      <c r="K76" s="360">
        <v>0.6</v>
      </c>
      <c r="L76" s="360">
        <v>94.7</v>
      </c>
      <c r="M76" s="360">
        <v>2.5</v>
      </c>
      <c r="N76" s="361">
        <v>0.3</v>
      </c>
      <c r="O76" s="374">
        <v>95</v>
      </c>
      <c r="P76" s="360">
        <v>2.2000000000000002</v>
      </c>
      <c r="Q76" s="273">
        <v>0.38</v>
      </c>
      <c r="R76" s="350">
        <v>92</v>
      </c>
      <c r="S76" s="274">
        <v>2.16</v>
      </c>
      <c r="T76" s="349">
        <v>0.3</v>
      </c>
      <c r="U76" s="350">
        <v>91.2</v>
      </c>
      <c r="V76" s="274">
        <v>2.1</v>
      </c>
      <c r="W76" s="349">
        <v>0.2</v>
      </c>
      <c r="X76" s="350">
        <v>97</v>
      </c>
      <c r="Y76" s="352">
        <v>1.8</v>
      </c>
      <c r="Z76" s="349">
        <v>0.16</v>
      </c>
      <c r="AA76" s="349">
        <v>94.92</v>
      </c>
      <c r="AB76" s="349">
        <v>1.02</v>
      </c>
      <c r="AC76" s="355">
        <v>8.3006525499219538E-2</v>
      </c>
      <c r="AD76" s="355">
        <v>97.106374386113259</v>
      </c>
      <c r="AE76" s="353">
        <v>0.92673863556546665</v>
      </c>
      <c r="AF76" s="356">
        <v>0.08</v>
      </c>
      <c r="AG76" s="343">
        <v>98.46</v>
      </c>
      <c r="AH76" s="357">
        <v>0.62</v>
      </c>
      <c r="AI76" s="357">
        <v>0.5</v>
      </c>
      <c r="AJ76" s="357">
        <v>97.5</v>
      </c>
      <c r="AK76" s="357">
        <v>0.7</v>
      </c>
      <c r="AL76" s="357">
        <v>0.2</v>
      </c>
      <c r="AM76" s="357">
        <v>98.8</v>
      </c>
      <c r="AN76" s="357">
        <v>0.6</v>
      </c>
      <c r="AO76" s="357">
        <v>0.70574322898174369</v>
      </c>
      <c r="AP76" s="357">
        <v>98.655759801599956</v>
      </c>
      <c r="AQ76" s="357">
        <v>0.39060975600680325</v>
      </c>
    </row>
    <row r="77" spans="1:43" ht="19.5" x14ac:dyDescent="0.2">
      <c r="A77" s="345" t="s">
        <v>59</v>
      </c>
      <c r="B77" s="349">
        <v>0.9</v>
      </c>
      <c r="C77" s="349">
        <v>71.7</v>
      </c>
      <c r="D77" s="349">
        <v>25.7</v>
      </c>
      <c r="E77" s="349">
        <v>0.3</v>
      </c>
      <c r="F77" s="349">
        <v>85.8</v>
      </c>
      <c r="G77" s="349">
        <v>10.9</v>
      </c>
      <c r="H77" s="383">
        <v>0.03</v>
      </c>
      <c r="I77" s="349">
        <v>96.3</v>
      </c>
      <c r="J77" s="372">
        <v>1</v>
      </c>
      <c r="K77" s="360">
        <v>0.01</v>
      </c>
      <c r="L77" s="360">
        <v>92.1</v>
      </c>
      <c r="M77" s="360">
        <v>2.7</v>
      </c>
      <c r="N77" s="361">
        <v>0.4</v>
      </c>
      <c r="O77" s="360">
        <v>91.7</v>
      </c>
      <c r="P77" s="360">
        <v>0.2</v>
      </c>
      <c r="Q77" s="389">
        <v>0.03</v>
      </c>
      <c r="R77" s="350">
        <v>89.65</v>
      </c>
      <c r="S77" s="274">
        <v>0.3</v>
      </c>
      <c r="T77" s="349">
        <v>0</v>
      </c>
      <c r="U77" s="350">
        <v>75.2</v>
      </c>
      <c r="V77" s="274">
        <v>1.3</v>
      </c>
      <c r="W77" s="383">
        <v>0</v>
      </c>
      <c r="X77" s="350">
        <v>62.9</v>
      </c>
      <c r="Y77" s="352">
        <v>1.7</v>
      </c>
      <c r="Z77" s="383">
        <v>0.01</v>
      </c>
      <c r="AA77" s="349">
        <v>73.19</v>
      </c>
      <c r="AB77" s="383">
        <v>0.04</v>
      </c>
      <c r="AC77" s="390">
        <v>4.2369873218121967E-2</v>
      </c>
      <c r="AD77" s="356">
        <v>76.923799883970503</v>
      </c>
      <c r="AE77" s="354">
        <v>5.6115555429477333E-2</v>
      </c>
      <c r="AF77" s="390">
        <v>0.02</v>
      </c>
      <c r="AG77" s="356">
        <v>91.85</v>
      </c>
      <c r="AH77" s="392">
        <v>0.03</v>
      </c>
      <c r="AI77" s="357">
        <v>0</v>
      </c>
      <c r="AJ77" s="357">
        <v>94.7</v>
      </c>
      <c r="AK77" s="373">
        <v>0.04</v>
      </c>
      <c r="AL77" s="357" t="s">
        <v>90</v>
      </c>
      <c r="AM77" s="357">
        <v>97.8</v>
      </c>
      <c r="AN77" s="357" t="s">
        <v>90</v>
      </c>
      <c r="AO77" s="357">
        <v>3.8099913458424423E-3</v>
      </c>
      <c r="AP77" s="357">
        <v>95.156554773939931</v>
      </c>
      <c r="AQ77" s="373">
        <v>2.6753788387617997E-2</v>
      </c>
    </row>
    <row r="78" spans="1:43" ht="19.5" x14ac:dyDescent="0.2">
      <c r="A78" s="345" t="s">
        <v>83</v>
      </c>
      <c r="B78" s="349"/>
      <c r="C78" s="349"/>
      <c r="D78" s="349"/>
      <c r="E78" s="349"/>
      <c r="F78" s="349"/>
      <c r="G78" s="349"/>
      <c r="H78" s="349"/>
      <c r="I78" s="349"/>
      <c r="J78" s="372"/>
      <c r="K78" s="360">
        <v>5.2</v>
      </c>
      <c r="L78" s="359">
        <v>90</v>
      </c>
      <c r="M78" s="360">
        <v>0.7</v>
      </c>
      <c r="N78" s="374">
        <v>7</v>
      </c>
      <c r="O78" s="359">
        <v>89</v>
      </c>
      <c r="P78" s="360">
        <v>0.6</v>
      </c>
      <c r="Q78" s="273">
        <v>4.99</v>
      </c>
      <c r="R78" s="350">
        <v>87.37</v>
      </c>
      <c r="S78" s="274">
        <v>0.31</v>
      </c>
      <c r="T78" s="349">
        <v>3.8</v>
      </c>
      <c r="U78" s="350">
        <v>93.2</v>
      </c>
      <c r="V78" s="274">
        <v>0.3</v>
      </c>
      <c r="W78" s="349">
        <v>3.8</v>
      </c>
      <c r="X78" s="350">
        <v>90.6</v>
      </c>
      <c r="Y78" s="352">
        <v>0.2</v>
      </c>
      <c r="Z78" s="349">
        <v>4.3</v>
      </c>
      <c r="AA78" s="349">
        <v>87.55</v>
      </c>
      <c r="AB78" s="349">
        <v>0.06</v>
      </c>
      <c r="AC78" s="355">
        <v>4.3464063998074609</v>
      </c>
      <c r="AD78" s="355">
        <v>83.007266738657179</v>
      </c>
      <c r="AE78" s="353">
        <v>0.10177383132299878</v>
      </c>
      <c r="AF78" s="356">
        <v>4.5999999999999996</v>
      </c>
      <c r="AG78" s="356">
        <v>73.95</v>
      </c>
      <c r="AH78" s="386">
        <v>0.05</v>
      </c>
      <c r="AI78" s="357">
        <v>4.8718543099047951</v>
      </c>
      <c r="AJ78" s="357">
        <v>76.112080967876494</v>
      </c>
      <c r="AK78" s="357">
        <v>9.9923425062265578E-2</v>
      </c>
      <c r="AL78" s="357">
        <v>5.0999999999999996</v>
      </c>
      <c r="AM78" s="357">
        <v>88.9</v>
      </c>
      <c r="AN78" s="373">
        <v>0.04</v>
      </c>
      <c r="AO78" s="357">
        <v>5.3591228701756446</v>
      </c>
      <c r="AP78" s="357">
        <v>94.033232699767083</v>
      </c>
      <c r="AQ78" s="357">
        <v>0.21457521765867413</v>
      </c>
    </row>
    <row r="79" spans="1:43" x14ac:dyDescent="0.2">
      <c r="A79" s="208" t="s">
        <v>60</v>
      </c>
      <c r="B79" s="349">
        <v>6</v>
      </c>
      <c r="C79" s="349">
        <v>75.7</v>
      </c>
      <c r="D79" s="349">
        <v>15.7</v>
      </c>
      <c r="E79" s="349">
        <v>2.6</v>
      </c>
      <c r="F79" s="349">
        <v>90.6</v>
      </c>
      <c r="G79" s="349">
        <v>3.7</v>
      </c>
      <c r="H79" s="349">
        <v>1.1000000000000001</v>
      </c>
      <c r="I79" s="349">
        <v>95.9</v>
      </c>
      <c r="J79" s="372">
        <v>1.8</v>
      </c>
      <c r="K79" s="360">
        <v>0.7</v>
      </c>
      <c r="L79" s="360">
        <v>96.5</v>
      </c>
      <c r="M79" s="360">
        <v>1.5</v>
      </c>
      <c r="N79" s="361">
        <v>0.5</v>
      </c>
      <c r="O79" s="360">
        <v>95.2</v>
      </c>
      <c r="P79" s="360">
        <v>1.3</v>
      </c>
      <c r="Q79" s="273">
        <v>0.78</v>
      </c>
      <c r="R79" s="350">
        <v>93.12</v>
      </c>
      <c r="S79" s="274">
        <v>1.3</v>
      </c>
      <c r="T79" s="349">
        <v>0.9</v>
      </c>
      <c r="U79" s="350">
        <v>91.4</v>
      </c>
      <c r="V79" s="274">
        <v>2.1</v>
      </c>
      <c r="W79" s="349">
        <v>0.5</v>
      </c>
      <c r="X79" s="350">
        <v>93.9</v>
      </c>
      <c r="Y79" s="352">
        <v>1</v>
      </c>
      <c r="Z79" s="349">
        <v>0.4</v>
      </c>
      <c r="AA79" s="349">
        <v>97.9</v>
      </c>
      <c r="AB79" s="349">
        <v>0.5</v>
      </c>
      <c r="AC79" s="355">
        <v>0.3</v>
      </c>
      <c r="AD79" s="355">
        <v>98.081147819524745</v>
      </c>
      <c r="AE79" s="353">
        <v>0.35612108836610357</v>
      </c>
      <c r="AF79" s="356">
        <v>0.4</v>
      </c>
      <c r="AG79" s="356">
        <v>97.75</v>
      </c>
      <c r="AH79" s="386">
        <v>0.53</v>
      </c>
      <c r="AI79" s="357">
        <v>0.57708900829087306</v>
      </c>
      <c r="AJ79" s="357">
        <v>97.984492196271475</v>
      </c>
      <c r="AK79" s="357">
        <v>0.68001135802282708</v>
      </c>
      <c r="AL79" s="357">
        <v>0.4</v>
      </c>
      <c r="AM79" s="357">
        <v>98.7</v>
      </c>
      <c r="AN79" s="357">
        <v>0.5</v>
      </c>
      <c r="AO79" s="357">
        <v>0.59364385956979271</v>
      </c>
      <c r="AP79" s="357">
        <v>98.520175818407026</v>
      </c>
      <c r="AQ79" s="357">
        <v>0.40549139937479306</v>
      </c>
    </row>
    <row r="80" spans="1:43" ht="18.75" x14ac:dyDescent="0.2">
      <c r="A80" s="259" t="s">
        <v>157</v>
      </c>
      <c r="B80" s="365">
        <v>13.5</v>
      </c>
      <c r="C80" s="365">
        <v>64.7</v>
      </c>
      <c r="D80" s="365">
        <v>20.3</v>
      </c>
      <c r="E80" s="365">
        <v>6.1</v>
      </c>
      <c r="F80" s="365">
        <v>82</v>
      </c>
      <c r="G80" s="365">
        <v>6</v>
      </c>
      <c r="H80" s="365">
        <v>2.2000000000000002</v>
      </c>
      <c r="I80" s="365">
        <v>92.9</v>
      </c>
      <c r="J80" s="366">
        <v>1.9</v>
      </c>
      <c r="K80" s="378">
        <v>2</v>
      </c>
      <c r="L80" s="367">
        <v>93.7</v>
      </c>
      <c r="M80" s="367">
        <v>1.6</v>
      </c>
      <c r="N80" s="379">
        <v>2</v>
      </c>
      <c r="O80" s="379">
        <v>94.7</v>
      </c>
      <c r="P80" s="379">
        <v>1.5</v>
      </c>
      <c r="Q80" s="258">
        <v>2.35</v>
      </c>
      <c r="R80" s="368">
        <v>93.82</v>
      </c>
      <c r="S80" s="263">
        <v>0.9</v>
      </c>
      <c r="T80" s="365">
        <v>1.8</v>
      </c>
      <c r="U80" s="368">
        <v>94.8</v>
      </c>
      <c r="V80" s="263">
        <v>1</v>
      </c>
      <c r="W80" s="365">
        <v>2</v>
      </c>
      <c r="X80" s="368">
        <v>94.8</v>
      </c>
      <c r="Y80" s="369">
        <v>0.9</v>
      </c>
      <c r="Z80" s="369">
        <v>1.6</v>
      </c>
      <c r="AA80" s="369">
        <v>94.5</v>
      </c>
      <c r="AB80" s="393">
        <v>0.7</v>
      </c>
      <c r="AC80" s="370">
        <v>1.2</v>
      </c>
      <c r="AD80" s="370">
        <v>93.5</v>
      </c>
      <c r="AE80" s="370">
        <v>0.7</v>
      </c>
      <c r="AF80" s="371">
        <v>1.21</v>
      </c>
      <c r="AG80" s="371">
        <v>95.4</v>
      </c>
      <c r="AH80" s="394">
        <v>0.66</v>
      </c>
      <c r="AI80" s="263">
        <v>1.6</v>
      </c>
      <c r="AJ80" s="263">
        <v>91.4</v>
      </c>
      <c r="AK80" s="263">
        <v>0.4</v>
      </c>
      <c r="AL80" s="263">
        <v>2</v>
      </c>
      <c r="AM80" s="263">
        <v>93.4</v>
      </c>
      <c r="AN80" s="263">
        <v>0.4</v>
      </c>
      <c r="AO80" s="263">
        <v>1.5937721270569651</v>
      </c>
      <c r="AP80" s="263">
        <v>93.074925028718852</v>
      </c>
      <c r="AQ80" s="263">
        <v>0.27282666610512679</v>
      </c>
    </row>
    <row r="81" spans="1:43" x14ac:dyDescent="0.2">
      <c r="A81" s="208" t="s">
        <v>61</v>
      </c>
      <c r="B81" s="349">
        <v>35.299999999999997</v>
      </c>
      <c r="C81" s="349">
        <v>59.6</v>
      </c>
      <c r="D81" s="349">
        <v>5</v>
      </c>
      <c r="E81" s="349">
        <v>6.2</v>
      </c>
      <c r="F81" s="349">
        <v>89.8</v>
      </c>
      <c r="G81" s="349">
        <v>1.9</v>
      </c>
      <c r="H81" s="349">
        <v>3</v>
      </c>
      <c r="I81" s="349">
        <v>94</v>
      </c>
      <c r="J81" s="372">
        <v>2.2000000000000002</v>
      </c>
      <c r="K81" s="360">
        <v>2.2000000000000002</v>
      </c>
      <c r="L81" s="360">
        <v>92.2</v>
      </c>
      <c r="M81" s="360">
        <v>2.6</v>
      </c>
      <c r="N81" s="361">
        <v>1.8</v>
      </c>
      <c r="O81" s="360">
        <v>95.8</v>
      </c>
      <c r="P81" s="360">
        <v>0.7</v>
      </c>
      <c r="Q81" s="273" t="s">
        <v>90</v>
      </c>
      <c r="R81" s="350">
        <v>97.2</v>
      </c>
      <c r="S81" s="274">
        <v>0.26</v>
      </c>
      <c r="T81" s="349">
        <v>0.8</v>
      </c>
      <c r="U81" s="350">
        <v>97.9</v>
      </c>
      <c r="V81" s="274" t="s">
        <v>90</v>
      </c>
      <c r="W81" s="349">
        <v>0.67</v>
      </c>
      <c r="X81" s="350">
        <v>98.46</v>
      </c>
      <c r="Y81" s="352" t="s">
        <v>90</v>
      </c>
      <c r="Z81" s="349">
        <v>0.06</v>
      </c>
      <c r="AA81" s="349">
        <v>98.45</v>
      </c>
      <c r="AB81" s="349" t="s">
        <v>90</v>
      </c>
      <c r="AC81" s="355">
        <v>0.10242035528931574</v>
      </c>
      <c r="AD81" s="355">
        <v>96.007165527932415</v>
      </c>
      <c r="AE81" s="353">
        <v>0.84740057051339768</v>
      </c>
      <c r="AF81" s="152">
        <v>0.04</v>
      </c>
      <c r="AG81" s="356">
        <v>96.57</v>
      </c>
      <c r="AH81" s="357" t="s">
        <v>90</v>
      </c>
      <c r="AI81" s="357">
        <v>0.63139932172964097</v>
      </c>
      <c r="AJ81" s="357">
        <v>96.407642323268163</v>
      </c>
      <c r="AK81" s="357">
        <v>0.69818167490524807</v>
      </c>
      <c r="AL81" s="357">
        <v>2.0499999999999998</v>
      </c>
      <c r="AM81" s="357">
        <v>95.95</v>
      </c>
      <c r="AN81" s="373">
        <v>0.04</v>
      </c>
      <c r="AO81" s="357" t="s">
        <v>90</v>
      </c>
      <c r="AP81" s="357">
        <v>97.14318358416466</v>
      </c>
      <c r="AQ81" s="373">
        <v>6.1479669043694833E-3</v>
      </c>
    </row>
    <row r="82" spans="1:43" x14ac:dyDescent="0.2">
      <c r="A82" s="208" t="s">
        <v>63</v>
      </c>
      <c r="B82" s="349">
        <v>34.5</v>
      </c>
      <c r="C82" s="349">
        <v>52.9</v>
      </c>
      <c r="D82" s="349">
        <v>12.6</v>
      </c>
      <c r="E82" s="349">
        <v>16.5</v>
      </c>
      <c r="F82" s="349">
        <v>75.7</v>
      </c>
      <c r="G82" s="349">
        <v>7.7</v>
      </c>
      <c r="H82" s="349">
        <v>3.7</v>
      </c>
      <c r="I82" s="349">
        <v>96.1</v>
      </c>
      <c r="J82" s="372">
        <v>0.3</v>
      </c>
      <c r="K82" s="360">
        <v>3.3</v>
      </c>
      <c r="L82" s="360">
        <v>96.5</v>
      </c>
      <c r="M82" s="360">
        <v>0.2</v>
      </c>
      <c r="N82" s="361">
        <v>0.8</v>
      </c>
      <c r="O82" s="360">
        <v>99.1</v>
      </c>
      <c r="P82" s="360">
        <v>0.1</v>
      </c>
      <c r="Q82" s="273">
        <v>0.65</v>
      </c>
      <c r="R82" s="350">
        <v>98.93</v>
      </c>
      <c r="S82" s="375">
        <v>0.04</v>
      </c>
      <c r="T82" s="349">
        <v>0.5</v>
      </c>
      <c r="U82" s="350">
        <v>99.1</v>
      </c>
      <c r="V82" s="376" t="s">
        <v>118</v>
      </c>
      <c r="W82" s="349">
        <v>0.59</v>
      </c>
      <c r="X82" s="350">
        <v>94.18</v>
      </c>
      <c r="Y82" s="377" t="s">
        <v>90</v>
      </c>
      <c r="Z82" s="349">
        <v>0.27</v>
      </c>
      <c r="AA82" s="349">
        <v>99.45</v>
      </c>
      <c r="AB82" s="365" t="s">
        <v>90</v>
      </c>
      <c r="AC82" s="355">
        <v>0.3194079548873015</v>
      </c>
      <c r="AD82" s="355">
        <v>99.673721415107948</v>
      </c>
      <c r="AE82" s="353" t="s">
        <v>90</v>
      </c>
      <c r="AF82" s="149">
        <v>0.31</v>
      </c>
      <c r="AG82" s="356">
        <v>93.3</v>
      </c>
      <c r="AH82" s="357" t="s">
        <v>90</v>
      </c>
      <c r="AI82" s="373">
        <v>3.0123562828575347E-2</v>
      </c>
      <c r="AJ82" s="357">
        <v>90.695658761150781</v>
      </c>
      <c r="AK82" s="357" t="s">
        <v>90</v>
      </c>
      <c r="AL82" s="357">
        <v>0.34</v>
      </c>
      <c r="AM82" s="357">
        <v>97.5</v>
      </c>
      <c r="AN82" s="373">
        <v>0.03</v>
      </c>
      <c r="AO82" s="357">
        <v>0.25686301695915742</v>
      </c>
      <c r="AP82" s="357">
        <v>99.676753373382439</v>
      </c>
      <c r="AQ82" s="357">
        <v>3.0668581538779425E-3</v>
      </c>
    </row>
    <row r="83" spans="1:43" x14ac:dyDescent="0.2">
      <c r="A83" s="208" t="s">
        <v>64</v>
      </c>
      <c r="B83" s="349">
        <v>20.6</v>
      </c>
      <c r="C83" s="349">
        <v>43.8</v>
      </c>
      <c r="D83" s="349">
        <v>34.9</v>
      </c>
      <c r="E83" s="349">
        <v>3.9</v>
      </c>
      <c r="F83" s="349">
        <v>74.599999999999994</v>
      </c>
      <c r="G83" s="349">
        <v>17.899999999999999</v>
      </c>
      <c r="H83" s="349">
        <v>5.3</v>
      </c>
      <c r="I83" s="349">
        <v>82.2</v>
      </c>
      <c r="J83" s="372">
        <v>1.3</v>
      </c>
      <c r="K83" s="360">
        <v>4.3</v>
      </c>
      <c r="L83" s="360">
        <v>84.3</v>
      </c>
      <c r="M83" s="374">
        <v>2</v>
      </c>
      <c r="N83" s="361">
        <v>4.7</v>
      </c>
      <c r="O83" s="360">
        <v>85.7</v>
      </c>
      <c r="P83" s="360">
        <v>4.9000000000000004</v>
      </c>
      <c r="Q83" s="273">
        <v>2.77</v>
      </c>
      <c r="R83" s="350">
        <v>75.94</v>
      </c>
      <c r="S83" s="274">
        <v>1.04</v>
      </c>
      <c r="T83" s="349">
        <v>1.2</v>
      </c>
      <c r="U83" s="350">
        <v>89.6</v>
      </c>
      <c r="V83" s="274">
        <v>1.2</v>
      </c>
      <c r="W83" s="349">
        <v>0.99</v>
      </c>
      <c r="X83" s="350">
        <v>98.88</v>
      </c>
      <c r="Y83" s="352" t="s">
        <v>90</v>
      </c>
      <c r="Z83" s="349">
        <v>0.76</v>
      </c>
      <c r="AA83" s="349">
        <v>98.77</v>
      </c>
      <c r="AB83" s="349">
        <v>0.1</v>
      </c>
      <c r="AC83" s="355">
        <v>1.1979823788527844</v>
      </c>
      <c r="AD83" s="355">
        <v>98.493116595576879</v>
      </c>
      <c r="AE83" s="353" t="s">
        <v>90</v>
      </c>
      <c r="AF83" s="149">
        <v>1.07</v>
      </c>
      <c r="AG83" s="356">
        <v>98.86</v>
      </c>
      <c r="AH83" s="357" t="s">
        <v>90</v>
      </c>
      <c r="AI83" s="357">
        <v>0.98205305783033858</v>
      </c>
      <c r="AJ83" s="357">
        <v>98.831520739450823</v>
      </c>
      <c r="AK83" s="357">
        <v>2.5545822108801494E-3</v>
      </c>
      <c r="AL83" s="357">
        <v>1.1299999999999999</v>
      </c>
      <c r="AM83" s="357">
        <v>98.44</v>
      </c>
      <c r="AN83" s="357">
        <v>0.06</v>
      </c>
      <c r="AO83" s="357">
        <v>0.93218006213963567</v>
      </c>
      <c r="AP83" s="357">
        <v>98.535195229594265</v>
      </c>
      <c r="AQ83" s="357">
        <v>0.15074126736897311</v>
      </c>
    </row>
    <row r="84" spans="1:43" x14ac:dyDescent="0.2">
      <c r="A84" s="208" t="s">
        <v>65</v>
      </c>
      <c r="B84" s="349">
        <v>34.799999999999997</v>
      </c>
      <c r="C84" s="349">
        <v>61.3</v>
      </c>
      <c r="D84" s="349">
        <v>3.5</v>
      </c>
      <c r="E84" s="349">
        <v>8.6999999999999993</v>
      </c>
      <c r="F84" s="349">
        <v>81.599999999999994</v>
      </c>
      <c r="G84" s="349">
        <v>4.0999999999999996</v>
      </c>
      <c r="H84" s="349">
        <v>10.3</v>
      </c>
      <c r="I84" s="349">
        <v>86</v>
      </c>
      <c r="J84" s="372">
        <v>1.7</v>
      </c>
      <c r="K84" s="360">
        <v>10.7</v>
      </c>
      <c r="L84" s="360">
        <v>82.6</v>
      </c>
      <c r="M84" s="360">
        <v>1.5</v>
      </c>
      <c r="N84" s="361">
        <v>9.1</v>
      </c>
      <c r="O84" s="360">
        <v>86.3</v>
      </c>
      <c r="P84" s="374">
        <v>3</v>
      </c>
      <c r="Q84" s="273">
        <v>9.52</v>
      </c>
      <c r="R84" s="350">
        <v>86.26</v>
      </c>
      <c r="S84" s="274">
        <v>2.5</v>
      </c>
      <c r="T84" s="349">
        <v>9.1999999999999993</v>
      </c>
      <c r="U84" s="350">
        <v>88.2</v>
      </c>
      <c r="V84" s="274">
        <v>2</v>
      </c>
      <c r="W84" s="349">
        <v>8.58</v>
      </c>
      <c r="X84" s="350">
        <v>88.11</v>
      </c>
      <c r="Y84" s="352">
        <v>3.06</v>
      </c>
      <c r="Z84" s="349">
        <v>10.14</v>
      </c>
      <c r="AA84" s="349">
        <v>86.93</v>
      </c>
      <c r="AB84" s="349">
        <v>2.79</v>
      </c>
      <c r="AC84" s="355">
        <v>5.4657677260575426</v>
      </c>
      <c r="AD84" s="355">
        <v>90.75575341113489</v>
      </c>
      <c r="AE84" s="353">
        <v>2.3339275409638689</v>
      </c>
      <c r="AF84" s="149">
        <v>6.88</v>
      </c>
      <c r="AG84" s="356">
        <v>90.51</v>
      </c>
      <c r="AH84" s="357">
        <v>1.82</v>
      </c>
      <c r="AI84" s="357">
        <v>6.077052633329294</v>
      </c>
      <c r="AJ84" s="357">
        <v>92.327402698091348</v>
      </c>
      <c r="AK84" s="357">
        <v>0.78377495577291056</v>
      </c>
      <c r="AL84" s="357">
        <v>5.53</v>
      </c>
      <c r="AM84" s="357">
        <v>93.92</v>
      </c>
      <c r="AN84" s="357">
        <v>0.4</v>
      </c>
      <c r="AO84" s="357">
        <v>6.2281993515797351</v>
      </c>
      <c r="AP84" s="357">
        <v>93.394713520213827</v>
      </c>
      <c r="AQ84" s="357">
        <v>0.25808045493889326</v>
      </c>
    </row>
    <row r="85" spans="1:43" x14ac:dyDescent="0.2">
      <c r="A85" s="208" t="s">
        <v>67</v>
      </c>
      <c r="B85" s="349">
        <v>9.5</v>
      </c>
      <c r="C85" s="349">
        <v>67.8</v>
      </c>
      <c r="D85" s="349">
        <v>20</v>
      </c>
      <c r="E85" s="349">
        <v>7.2</v>
      </c>
      <c r="F85" s="349">
        <v>59.1</v>
      </c>
      <c r="G85" s="349">
        <v>6.8</v>
      </c>
      <c r="H85" s="349">
        <v>2.5</v>
      </c>
      <c r="I85" s="349">
        <v>91.8</v>
      </c>
      <c r="J85" s="372">
        <v>2.9</v>
      </c>
      <c r="K85" s="360">
        <v>2.5</v>
      </c>
      <c r="L85" s="360">
        <v>95.1</v>
      </c>
      <c r="M85" s="374">
        <v>1</v>
      </c>
      <c r="N85" s="361">
        <v>3.3</v>
      </c>
      <c r="O85" s="360">
        <v>94.7</v>
      </c>
      <c r="P85" s="374">
        <v>1</v>
      </c>
      <c r="Q85" s="273">
        <v>4.9000000000000004</v>
      </c>
      <c r="R85" s="350">
        <v>91.41</v>
      </c>
      <c r="S85" s="274">
        <v>0.68</v>
      </c>
      <c r="T85" s="349">
        <v>4</v>
      </c>
      <c r="U85" s="350">
        <v>88.6</v>
      </c>
      <c r="V85" s="274">
        <v>1.5</v>
      </c>
      <c r="W85" s="349">
        <v>3.48</v>
      </c>
      <c r="X85" s="350">
        <v>89.89</v>
      </c>
      <c r="Y85" s="352">
        <v>1.03</v>
      </c>
      <c r="Z85" s="349">
        <v>2.2200000000000002</v>
      </c>
      <c r="AA85" s="349">
        <v>89.02</v>
      </c>
      <c r="AB85" s="349">
        <v>0.67</v>
      </c>
      <c r="AC85" s="355">
        <v>2.4606544987306402</v>
      </c>
      <c r="AD85" s="355">
        <v>92.141605486080252</v>
      </c>
      <c r="AE85" s="353">
        <v>0.66151017058473893</v>
      </c>
      <c r="AF85" s="149">
        <v>1.57</v>
      </c>
      <c r="AG85" s="356">
        <v>90.58</v>
      </c>
      <c r="AH85" s="357">
        <v>1.22</v>
      </c>
      <c r="AI85" s="357">
        <v>3.1727994462028333</v>
      </c>
      <c r="AJ85" s="357">
        <v>92.119908738460339</v>
      </c>
      <c r="AK85" s="357">
        <v>0.61067598718898841</v>
      </c>
      <c r="AL85" s="357">
        <v>4.13</v>
      </c>
      <c r="AM85" s="357">
        <v>90.83</v>
      </c>
      <c r="AN85" s="357">
        <v>0.67</v>
      </c>
      <c r="AO85" s="357">
        <v>2.870983984374603</v>
      </c>
      <c r="AP85" s="357">
        <v>89.690228902523216</v>
      </c>
      <c r="AQ85" s="357">
        <v>0.56464964645442695</v>
      </c>
    </row>
    <row r="86" spans="1:43" x14ac:dyDescent="0.2">
      <c r="A86" s="208" t="s">
        <v>68</v>
      </c>
      <c r="B86" s="349">
        <v>16.600000000000001</v>
      </c>
      <c r="C86" s="349">
        <v>62.2</v>
      </c>
      <c r="D86" s="349">
        <v>20.3</v>
      </c>
      <c r="E86" s="349">
        <v>5.7</v>
      </c>
      <c r="F86" s="349">
        <v>86.7</v>
      </c>
      <c r="G86" s="349">
        <v>6.6</v>
      </c>
      <c r="H86" s="349">
        <v>2.2999999999999998</v>
      </c>
      <c r="I86" s="349">
        <v>92.9</v>
      </c>
      <c r="J86" s="372">
        <v>2.2999999999999998</v>
      </c>
      <c r="K86" s="359">
        <v>1</v>
      </c>
      <c r="L86" s="360">
        <v>93.6</v>
      </c>
      <c r="M86" s="360">
        <v>2.4</v>
      </c>
      <c r="N86" s="361">
        <v>0.8</v>
      </c>
      <c r="O86" s="360">
        <v>95.9</v>
      </c>
      <c r="P86" s="360">
        <v>1.4</v>
      </c>
      <c r="Q86" s="273">
        <v>1.41</v>
      </c>
      <c r="R86" s="350">
        <v>95.04</v>
      </c>
      <c r="S86" s="274">
        <v>1.87</v>
      </c>
      <c r="T86" s="349">
        <v>0.3</v>
      </c>
      <c r="U86" s="350">
        <v>96.2</v>
      </c>
      <c r="V86" s="274">
        <v>1.9</v>
      </c>
      <c r="W86" s="349">
        <v>0.22</v>
      </c>
      <c r="X86" s="350">
        <v>97.31</v>
      </c>
      <c r="Y86" s="352">
        <v>1.28</v>
      </c>
      <c r="Z86" s="349">
        <v>0.18</v>
      </c>
      <c r="AA86" s="349">
        <v>96.8</v>
      </c>
      <c r="AB86" s="349">
        <v>0.73</v>
      </c>
      <c r="AC86" s="355">
        <v>1.0287858469522439E-2</v>
      </c>
      <c r="AD86" s="355">
        <v>88.193618330182943</v>
      </c>
      <c r="AE86" s="353">
        <v>0.33003695467223532</v>
      </c>
      <c r="AF86" s="149">
        <v>0.39</v>
      </c>
      <c r="AG86" s="356">
        <v>98.05</v>
      </c>
      <c r="AH86" s="357">
        <v>0.5</v>
      </c>
      <c r="AI86" s="357">
        <v>0.2279343534963133</v>
      </c>
      <c r="AJ86" s="357">
        <v>86.181225099743457</v>
      </c>
      <c r="AK86" s="357">
        <v>0.3644855049609797</v>
      </c>
      <c r="AL86" s="357">
        <v>0.39</v>
      </c>
      <c r="AM86" s="357">
        <v>93.82</v>
      </c>
      <c r="AN86" s="357">
        <v>0.39</v>
      </c>
      <c r="AO86" s="357">
        <v>0.52968819905162812</v>
      </c>
      <c r="AP86" s="357">
        <v>93.550972359726032</v>
      </c>
      <c r="AQ86" s="357">
        <v>0.236712255205101</v>
      </c>
    </row>
    <row r="87" spans="1:43" ht="19.5" x14ac:dyDescent="0.2">
      <c r="A87" s="247" t="s">
        <v>156</v>
      </c>
      <c r="B87" s="349">
        <v>12.2</v>
      </c>
      <c r="C87" s="349">
        <v>76.5</v>
      </c>
      <c r="D87" s="349">
        <v>9.1</v>
      </c>
      <c r="E87" s="349">
        <v>3</v>
      </c>
      <c r="F87" s="349">
        <v>89.2</v>
      </c>
      <c r="G87" s="349">
        <v>3.4</v>
      </c>
      <c r="H87" s="349">
        <v>1.2</v>
      </c>
      <c r="I87" s="349">
        <v>91.7</v>
      </c>
      <c r="J87" s="372">
        <v>0.2</v>
      </c>
      <c r="K87" s="360">
        <v>0.6</v>
      </c>
      <c r="L87" s="360">
        <v>95.6</v>
      </c>
      <c r="M87" s="360">
        <v>0.1</v>
      </c>
      <c r="N87" s="395">
        <v>0.5</v>
      </c>
      <c r="O87" s="360">
        <v>97.9</v>
      </c>
      <c r="P87" s="360">
        <v>0.2</v>
      </c>
      <c r="Q87" s="273">
        <v>0.17</v>
      </c>
      <c r="R87" s="350">
        <v>96.47</v>
      </c>
      <c r="S87" s="274">
        <v>0.15</v>
      </c>
      <c r="T87" s="349">
        <v>0.1</v>
      </c>
      <c r="U87" s="350">
        <v>98.9</v>
      </c>
      <c r="V87" s="274">
        <v>0.1</v>
      </c>
      <c r="W87" s="349">
        <v>7.0000000000000007E-2</v>
      </c>
      <c r="X87" s="350">
        <v>95.52</v>
      </c>
      <c r="Y87" s="352">
        <v>0.11</v>
      </c>
      <c r="Z87" s="383">
        <v>0.02</v>
      </c>
      <c r="AA87" s="349">
        <v>97.47</v>
      </c>
      <c r="AB87" s="349">
        <v>0.05</v>
      </c>
      <c r="AC87" s="355">
        <v>1.5262319874700985E-2</v>
      </c>
      <c r="AD87" s="355">
        <v>96.920002997180262</v>
      </c>
      <c r="AE87" s="353">
        <v>0.11056470539366717</v>
      </c>
      <c r="AF87" s="152">
        <v>0.02</v>
      </c>
      <c r="AG87" s="356">
        <v>96.67</v>
      </c>
      <c r="AH87" s="357">
        <v>0.1</v>
      </c>
      <c r="AI87" s="373">
        <v>1.2639467907628255E-2</v>
      </c>
      <c r="AJ87" s="357">
        <v>93.283217543971148</v>
      </c>
      <c r="AK87" s="357">
        <v>0.25512753152614664</v>
      </c>
      <c r="AL87" s="373">
        <v>0.02</v>
      </c>
      <c r="AM87" s="357">
        <v>96.06</v>
      </c>
      <c r="AN87" s="357">
        <v>0.3</v>
      </c>
      <c r="AO87" s="373">
        <v>2.0384738448480495E-2</v>
      </c>
      <c r="AP87" s="357">
        <v>96.715837703658977</v>
      </c>
      <c r="AQ87" s="357">
        <v>0.18854270886529498</v>
      </c>
    </row>
    <row r="88" spans="1:43" x14ac:dyDescent="0.2">
      <c r="A88" s="396" t="s">
        <v>69</v>
      </c>
      <c r="B88" s="349">
        <v>10.8</v>
      </c>
      <c r="C88" s="349">
        <v>72.900000000000006</v>
      </c>
      <c r="D88" s="349">
        <v>15.4</v>
      </c>
      <c r="E88" s="349">
        <v>4.5</v>
      </c>
      <c r="F88" s="349">
        <v>90.1</v>
      </c>
      <c r="G88" s="349">
        <v>4.9000000000000004</v>
      </c>
      <c r="H88" s="349">
        <v>0.2</v>
      </c>
      <c r="I88" s="349">
        <v>95.5</v>
      </c>
      <c r="J88" s="372">
        <v>3.2</v>
      </c>
      <c r="K88" s="360">
        <v>0.2</v>
      </c>
      <c r="L88" s="360">
        <v>94.8</v>
      </c>
      <c r="M88" s="397">
        <v>3</v>
      </c>
      <c r="N88" s="395">
        <v>0.5</v>
      </c>
      <c r="O88" s="360">
        <v>96.5</v>
      </c>
      <c r="P88" s="360">
        <v>1.4</v>
      </c>
      <c r="Q88" s="273">
        <v>0.17</v>
      </c>
      <c r="R88" s="350">
        <v>96.8</v>
      </c>
      <c r="S88" s="274">
        <v>0.5</v>
      </c>
      <c r="T88" s="349">
        <v>0.5</v>
      </c>
      <c r="U88" s="350">
        <v>97.9</v>
      </c>
      <c r="V88" s="274">
        <v>0.2</v>
      </c>
      <c r="W88" s="349">
        <v>0.23</v>
      </c>
      <c r="X88" s="350">
        <v>99.37</v>
      </c>
      <c r="Y88" s="352">
        <v>0.11</v>
      </c>
      <c r="Z88" s="349">
        <v>0.08</v>
      </c>
      <c r="AA88" s="349">
        <v>99.46</v>
      </c>
      <c r="AB88" s="349">
        <v>0.08</v>
      </c>
      <c r="AC88" s="355">
        <v>0.10405320952277974</v>
      </c>
      <c r="AD88" s="355">
        <v>99.439527438321392</v>
      </c>
      <c r="AE88" s="353">
        <v>0.10526210176979035</v>
      </c>
      <c r="AF88" s="149">
        <v>0.06</v>
      </c>
      <c r="AG88" s="356">
        <v>99.54</v>
      </c>
      <c r="AH88" s="357">
        <v>0.13</v>
      </c>
      <c r="AI88" s="357">
        <v>0.37090009215690362</v>
      </c>
      <c r="AJ88" s="357">
        <v>98.993151908188295</v>
      </c>
      <c r="AK88" s="357">
        <v>0.20281390093662763</v>
      </c>
      <c r="AL88" s="357">
        <v>0.72</v>
      </c>
      <c r="AM88" s="357">
        <v>98.79</v>
      </c>
      <c r="AN88" s="357">
        <v>0.05</v>
      </c>
      <c r="AO88" s="357">
        <v>0.38875993672941145</v>
      </c>
      <c r="AP88" s="357">
        <v>98.838025848617846</v>
      </c>
      <c r="AQ88" s="373">
        <v>2.2828805958000239E-2</v>
      </c>
    </row>
    <row r="89" spans="1:43" x14ac:dyDescent="0.2">
      <c r="A89" s="396" t="s">
        <v>70</v>
      </c>
      <c r="B89" s="349">
        <v>6.9</v>
      </c>
      <c r="C89" s="349">
        <v>80.2</v>
      </c>
      <c r="D89" s="349">
        <v>11.2</v>
      </c>
      <c r="E89" s="349">
        <v>6.5</v>
      </c>
      <c r="F89" s="349">
        <v>90.4</v>
      </c>
      <c r="G89" s="349">
        <v>2.4</v>
      </c>
      <c r="H89" s="349">
        <v>1.4</v>
      </c>
      <c r="I89" s="349">
        <v>96.2</v>
      </c>
      <c r="J89" s="372">
        <v>0.8</v>
      </c>
      <c r="K89" s="359">
        <v>2</v>
      </c>
      <c r="L89" s="360">
        <v>95.9</v>
      </c>
      <c r="M89" s="397">
        <v>1</v>
      </c>
      <c r="N89" s="395">
        <v>2.4</v>
      </c>
      <c r="O89" s="360">
        <v>94.9</v>
      </c>
      <c r="P89" s="360">
        <v>0.6</v>
      </c>
      <c r="Q89" s="273">
        <v>2.38</v>
      </c>
      <c r="R89" s="350">
        <v>93.93</v>
      </c>
      <c r="S89" s="274">
        <v>0.37</v>
      </c>
      <c r="T89" s="349">
        <v>2</v>
      </c>
      <c r="U89" s="350">
        <v>97.5</v>
      </c>
      <c r="V89" s="274">
        <v>0.3</v>
      </c>
      <c r="W89" s="349">
        <v>2.19</v>
      </c>
      <c r="X89" s="350">
        <v>97.09</v>
      </c>
      <c r="Y89" s="352">
        <v>0.57999999999999996</v>
      </c>
      <c r="Z89" s="349">
        <v>2.4</v>
      </c>
      <c r="AA89" s="349">
        <v>96.77</v>
      </c>
      <c r="AB89" s="349">
        <v>0.44</v>
      </c>
      <c r="AC89" s="355">
        <v>2.0782845116883921</v>
      </c>
      <c r="AD89" s="355">
        <v>96.663848748923769</v>
      </c>
      <c r="AE89" s="353">
        <v>0.63674316583861912</v>
      </c>
      <c r="AF89" s="149">
        <v>1.92</v>
      </c>
      <c r="AG89" s="356">
        <v>94.89</v>
      </c>
      <c r="AH89" s="357">
        <v>0.36</v>
      </c>
      <c r="AI89" s="357">
        <v>2.1077253951384618</v>
      </c>
      <c r="AJ89" s="357">
        <v>81.035145795036598</v>
      </c>
      <c r="AK89" s="357">
        <v>0.32992417581116579</v>
      </c>
      <c r="AL89" s="357">
        <v>1.9</v>
      </c>
      <c r="AM89" s="357">
        <v>83.74</v>
      </c>
      <c r="AN89" s="357">
        <v>0.32</v>
      </c>
      <c r="AO89" s="357">
        <v>1.2434427644922388</v>
      </c>
      <c r="AP89" s="357">
        <v>83.485268408012374</v>
      </c>
      <c r="AQ89" s="357">
        <v>0.23232033411317859</v>
      </c>
    </row>
    <row r="90" spans="1:43" x14ac:dyDescent="0.2">
      <c r="A90" s="396" t="s">
        <v>71</v>
      </c>
      <c r="B90" s="349">
        <v>5.5</v>
      </c>
      <c r="C90" s="349">
        <v>67.599999999999994</v>
      </c>
      <c r="D90" s="349">
        <v>26.4</v>
      </c>
      <c r="E90" s="349">
        <v>3.8</v>
      </c>
      <c r="F90" s="349">
        <v>83.3</v>
      </c>
      <c r="G90" s="349">
        <v>12.5</v>
      </c>
      <c r="H90" s="349">
        <v>1.9</v>
      </c>
      <c r="I90" s="349">
        <v>96.9</v>
      </c>
      <c r="J90" s="398">
        <v>0.03</v>
      </c>
      <c r="K90" s="360">
        <v>2.4</v>
      </c>
      <c r="L90" s="360">
        <v>96.5</v>
      </c>
      <c r="M90" s="360">
        <v>0.1</v>
      </c>
      <c r="N90" s="395">
        <v>1.3</v>
      </c>
      <c r="O90" s="360">
        <v>97.8</v>
      </c>
      <c r="P90" s="360">
        <v>0.5</v>
      </c>
      <c r="Q90" s="273">
        <v>1.36</v>
      </c>
      <c r="R90" s="350">
        <v>97.07</v>
      </c>
      <c r="S90" s="274">
        <v>0.83</v>
      </c>
      <c r="T90" s="349">
        <v>0.6</v>
      </c>
      <c r="U90" s="350">
        <v>98.5</v>
      </c>
      <c r="V90" s="274">
        <v>0.5</v>
      </c>
      <c r="W90" s="349">
        <v>1.67</v>
      </c>
      <c r="X90" s="350">
        <v>96.28</v>
      </c>
      <c r="Y90" s="352">
        <v>1.63</v>
      </c>
      <c r="Z90" s="349">
        <v>1.06</v>
      </c>
      <c r="AA90" s="349">
        <v>96.3</v>
      </c>
      <c r="AB90" s="349">
        <v>1.77</v>
      </c>
      <c r="AC90" s="355">
        <v>0.75596487050662409</v>
      </c>
      <c r="AD90" s="355">
        <v>95.887290245737191</v>
      </c>
      <c r="AE90" s="353">
        <v>3.0528150372874592</v>
      </c>
      <c r="AF90" s="149">
        <v>1.22</v>
      </c>
      <c r="AG90" s="356">
        <v>96.05</v>
      </c>
      <c r="AH90" s="357">
        <v>1.79</v>
      </c>
      <c r="AI90" s="357">
        <v>3.6528008340078757</v>
      </c>
      <c r="AJ90" s="357">
        <v>94.119664516346674</v>
      </c>
      <c r="AK90" s="357">
        <v>0.95450470208660976</v>
      </c>
      <c r="AL90" s="357">
        <v>4</v>
      </c>
      <c r="AM90" s="357">
        <v>93.51</v>
      </c>
      <c r="AN90" s="357">
        <v>1.44</v>
      </c>
      <c r="AO90" s="357">
        <v>4.3046106435102347</v>
      </c>
      <c r="AP90" s="357">
        <v>93.049317780858686</v>
      </c>
      <c r="AQ90" s="357">
        <v>0.40844868020377201</v>
      </c>
    </row>
    <row r="91" spans="1:43" ht="18.75" x14ac:dyDescent="0.2">
      <c r="A91" s="406" t="s">
        <v>158</v>
      </c>
      <c r="B91" s="365">
        <v>17.7</v>
      </c>
      <c r="C91" s="365">
        <v>48.3</v>
      </c>
      <c r="D91" s="365">
        <v>32.799999999999997</v>
      </c>
      <c r="E91" s="365">
        <v>9.1</v>
      </c>
      <c r="F91" s="365">
        <v>57.1</v>
      </c>
      <c r="G91" s="365">
        <v>12.6</v>
      </c>
      <c r="H91" s="365">
        <v>10.7</v>
      </c>
      <c r="I91" s="365">
        <v>81.400000000000006</v>
      </c>
      <c r="J91" s="366">
        <v>2.2999999999999998</v>
      </c>
      <c r="K91" s="367">
        <v>8.5</v>
      </c>
      <c r="L91" s="367">
        <v>81.3</v>
      </c>
      <c r="M91" s="399">
        <v>2</v>
      </c>
      <c r="N91" s="400">
        <v>9.5</v>
      </c>
      <c r="O91" s="399">
        <v>77</v>
      </c>
      <c r="P91" s="367">
        <v>1.6</v>
      </c>
      <c r="Q91" s="258">
        <v>10.88</v>
      </c>
      <c r="R91" s="368">
        <v>79.010000000000005</v>
      </c>
      <c r="S91" s="263">
        <v>1.69</v>
      </c>
      <c r="T91" s="365">
        <v>6</v>
      </c>
      <c r="U91" s="368">
        <v>82.9</v>
      </c>
      <c r="V91" s="263">
        <v>2.1</v>
      </c>
      <c r="W91" s="365">
        <v>6.3</v>
      </c>
      <c r="X91" s="368">
        <v>82.8</v>
      </c>
      <c r="Y91" s="369">
        <v>4.2</v>
      </c>
      <c r="Z91" s="369">
        <v>6.2</v>
      </c>
      <c r="AA91" s="369">
        <v>83.1</v>
      </c>
      <c r="AB91" s="369">
        <v>2.9</v>
      </c>
      <c r="AC91" s="370">
        <v>4</v>
      </c>
      <c r="AD91" s="370">
        <v>79.7</v>
      </c>
      <c r="AE91" s="370">
        <v>2.4</v>
      </c>
      <c r="AF91" s="140">
        <v>2.27</v>
      </c>
      <c r="AG91" s="371">
        <v>84.92</v>
      </c>
      <c r="AH91" s="263">
        <v>1.49</v>
      </c>
      <c r="AI91" s="263">
        <v>1.7</v>
      </c>
      <c r="AJ91" s="263">
        <v>70.099999999999994</v>
      </c>
      <c r="AK91" s="263">
        <v>1.2</v>
      </c>
      <c r="AL91" s="263">
        <v>1.6</v>
      </c>
      <c r="AM91" s="263">
        <v>80.400000000000006</v>
      </c>
      <c r="AN91" s="263">
        <v>1.7</v>
      </c>
      <c r="AO91" s="263">
        <v>1.7127390632722352</v>
      </c>
      <c r="AP91" s="263">
        <v>85.675210971107219</v>
      </c>
      <c r="AQ91" s="263">
        <v>1.0056775669561564</v>
      </c>
    </row>
    <row r="92" spans="1:43" x14ac:dyDescent="0.2">
      <c r="A92" s="396" t="s">
        <v>62</v>
      </c>
      <c r="B92" s="349">
        <v>6</v>
      </c>
      <c r="C92" s="349">
        <v>27</v>
      </c>
      <c r="D92" s="349">
        <v>66.5</v>
      </c>
      <c r="E92" s="349">
        <v>6.7</v>
      </c>
      <c r="F92" s="349">
        <v>85.7</v>
      </c>
      <c r="G92" s="349">
        <v>7.2</v>
      </c>
      <c r="H92" s="349">
        <v>0.9</v>
      </c>
      <c r="I92" s="349">
        <v>95</v>
      </c>
      <c r="J92" s="372">
        <v>3.3</v>
      </c>
      <c r="K92" s="360">
        <v>1.5</v>
      </c>
      <c r="L92" s="360">
        <v>93.9</v>
      </c>
      <c r="M92" s="360">
        <v>3.2</v>
      </c>
      <c r="N92" s="395">
        <v>0.6</v>
      </c>
      <c r="O92" s="360">
        <v>88.1</v>
      </c>
      <c r="P92" s="359">
        <v>3</v>
      </c>
      <c r="Q92" s="273">
        <v>1.1499999999999999</v>
      </c>
      <c r="R92" s="350">
        <v>96.37</v>
      </c>
      <c r="S92" s="274">
        <v>1.08</v>
      </c>
      <c r="T92" s="349">
        <v>0.1</v>
      </c>
      <c r="U92" s="350">
        <v>94.5</v>
      </c>
      <c r="V92" s="274">
        <v>1.1000000000000001</v>
      </c>
      <c r="W92" s="349">
        <v>0.06</v>
      </c>
      <c r="X92" s="350">
        <v>95.87</v>
      </c>
      <c r="Y92" s="352">
        <v>0.92</v>
      </c>
      <c r="Z92" s="349">
        <v>0.05</v>
      </c>
      <c r="AA92" s="349">
        <v>99.49</v>
      </c>
      <c r="AB92" s="349">
        <v>0.32</v>
      </c>
      <c r="AC92" s="355">
        <v>1.1036408526699431</v>
      </c>
      <c r="AD92" s="355">
        <v>98.381988229915706</v>
      </c>
      <c r="AE92" s="353">
        <v>0.51034934451928637</v>
      </c>
      <c r="AF92" s="149">
        <v>1.4</v>
      </c>
      <c r="AG92" s="356">
        <v>96.93</v>
      </c>
      <c r="AH92" s="357">
        <v>1.31</v>
      </c>
      <c r="AI92" s="357">
        <v>0.84725231474896501</v>
      </c>
      <c r="AJ92" s="357">
        <v>97.855717672104149</v>
      </c>
      <c r="AK92" s="357">
        <v>5.9666923891003615E-2</v>
      </c>
      <c r="AL92" s="357">
        <v>1.49</v>
      </c>
      <c r="AM92" s="357">
        <v>90.06</v>
      </c>
      <c r="AN92" s="357">
        <v>7.51</v>
      </c>
      <c r="AO92" s="357">
        <v>2.889400838835674</v>
      </c>
      <c r="AP92" s="357">
        <v>97.032038655388902</v>
      </c>
      <c r="AQ92" s="373">
        <v>1.8295076473044663E-2</v>
      </c>
    </row>
    <row r="93" spans="1:43" x14ac:dyDescent="0.2">
      <c r="A93" s="396" t="s">
        <v>72</v>
      </c>
      <c r="B93" s="349">
        <v>9.8000000000000007</v>
      </c>
      <c r="C93" s="349">
        <v>28.2</v>
      </c>
      <c r="D93" s="349">
        <v>62</v>
      </c>
      <c r="E93" s="349">
        <v>3.4</v>
      </c>
      <c r="F93" s="349">
        <v>66.599999999999994</v>
      </c>
      <c r="G93" s="349">
        <v>28.6</v>
      </c>
      <c r="H93" s="349">
        <v>2</v>
      </c>
      <c r="I93" s="349">
        <v>94.3</v>
      </c>
      <c r="J93" s="372">
        <v>2.2000000000000002</v>
      </c>
      <c r="K93" s="360">
        <v>1.8</v>
      </c>
      <c r="L93" s="360">
        <v>92.4</v>
      </c>
      <c r="M93" s="360">
        <v>1.5</v>
      </c>
      <c r="N93" s="395">
        <v>0.9</v>
      </c>
      <c r="O93" s="360">
        <v>80.599999999999994</v>
      </c>
      <c r="P93" s="360">
        <v>1.2</v>
      </c>
      <c r="Q93" s="273">
        <v>0.87</v>
      </c>
      <c r="R93" s="350">
        <v>85.18</v>
      </c>
      <c r="S93" s="274">
        <v>2.36</v>
      </c>
      <c r="T93" s="349">
        <v>0.6</v>
      </c>
      <c r="U93" s="350">
        <v>88.5</v>
      </c>
      <c r="V93" s="274">
        <v>3.1</v>
      </c>
      <c r="W93" s="349">
        <v>0.22</v>
      </c>
      <c r="X93" s="350">
        <v>85.11</v>
      </c>
      <c r="Y93" s="352">
        <v>11.5</v>
      </c>
      <c r="Z93" s="349">
        <v>0.16</v>
      </c>
      <c r="AA93" s="349">
        <v>83.17</v>
      </c>
      <c r="AB93" s="349">
        <v>9.09</v>
      </c>
      <c r="AC93" s="355">
        <v>0.12286788423138857</v>
      </c>
      <c r="AD93" s="355">
        <v>74.689658521297332</v>
      </c>
      <c r="AE93" s="353">
        <v>6.9347128277592178</v>
      </c>
      <c r="AF93" s="152">
        <v>0.04</v>
      </c>
      <c r="AG93" s="356">
        <v>83.08</v>
      </c>
      <c r="AH93" s="357">
        <v>4.04</v>
      </c>
      <c r="AI93" s="373">
        <v>2.9464792852870118E-2</v>
      </c>
      <c r="AJ93" s="357">
        <v>92.60186852716356</v>
      </c>
      <c r="AK93" s="357">
        <v>6.6135181829158854E-2</v>
      </c>
      <c r="AL93" s="357">
        <v>0.05</v>
      </c>
      <c r="AM93" s="357">
        <v>93.05</v>
      </c>
      <c r="AN93" s="357">
        <v>2.23</v>
      </c>
      <c r="AO93" s="373">
        <v>4.9851983707463382E-2</v>
      </c>
      <c r="AP93" s="357">
        <v>92.475414626847297</v>
      </c>
      <c r="AQ93" s="357">
        <v>2.9814140589946754</v>
      </c>
    </row>
    <row r="94" spans="1:43" x14ac:dyDescent="0.2">
      <c r="A94" s="396" t="s">
        <v>91</v>
      </c>
      <c r="B94" s="349">
        <v>15.3</v>
      </c>
      <c r="C94" s="349">
        <v>24.9</v>
      </c>
      <c r="D94" s="349">
        <v>59.1</v>
      </c>
      <c r="E94" s="349">
        <v>23.2</v>
      </c>
      <c r="F94" s="349">
        <v>69.5</v>
      </c>
      <c r="G94" s="349">
        <v>4.8</v>
      </c>
      <c r="H94" s="349">
        <v>2.7</v>
      </c>
      <c r="I94" s="349">
        <v>91.2</v>
      </c>
      <c r="J94" s="372">
        <v>3.6</v>
      </c>
      <c r="K94" s="360">
        <v>1.4</v>
      </c>
      <c r="L94" s="360">
        <v>84.1</v>
      </c>
      <c r="M94" s="397">
        <v>9</v>
      </c>
      <c r="N94" s="395">
        <v>0.9</v>
      </c>
      <c r="O94" s="360">
        <v>84.9</v>
      </c>
      <c r="P94" s="360">
        <v>9.8000000000000007</v>
      </c>
      <c r="Q94" s="273">
        <v>1.06</v>
      </c>
      <c r="R94" s="350">
        <v>93.91</v>
      </c>
      <c r="S94" s="274">
        <v>2.2999999999999998</v>
      </c>
      <c r="T94" s="349">
        <v>0.1</v>
      </c>
      <c r="U94" s="350">
        <v>92.9</v>
      </c>
      <c r="V94" s="274">
        <v>2.2999999999999998</v>
      </c>
      <c r="W94" s="349">
        <v>5.4</v>
      </c>
      <c r="X94" s="350">
        <v>91.42</v>
      </c>
      <c r="Y94" s="352">
        <v>1.7</v>
      </c>
      <c r="Z94" s="349">
        <v>2.4500000000000002</v>
      </c>
      <c r="AA94" s="349">
        <v>88.68</v>
      </c>
      <c r="AB94" s="349">
        <v>0.91</v>
      </c>
      <c r="AC94" s="355">
        <v>0.3799107463409831</v>
      </c>
      <c r="AD94" s="355">
        <v>74.408059716013341</v>
      </c>
      <c r="AE94" s="353" t="s">
        <v>90</v>
      </c>
      <c r="AF94" s="149">
        <v>0.28999999999999998</v>
      </c>
      <c r="AG94" s="356">
        <v>83.66</v>
      </c>
      <c r="AH94" s="357" t="s">
        <v>90</v>
      </c>
      <c r="AI94" s="357">
        <v>0.46267159231778371</v>
      </c>
      <c r="AJ94" s="357">
        <v>96.477256563125977</v>
      </c>
      <c r="AK94" s="357">
        <v>0.14712008761500339</v>
      </c>
      <c r="AL94" s="357">
        <v>0.4</v>
      </c>
      <c r="AM94" s="357">
        <v>79.61</v>
      </c>
      <c r="AN94" s="357">
        <v>0.19</v>
      </c>
      <c r="AO94" s="373">
        <v>3.0302651871111114E-2</v>
      </c>
      <c r="AP94" s="357">
        <v>84.728878807041937</v>
      </c>
      <c r="AQ94" s="357">
        <v>0.60117595763232778</v>
      </c>
    </row>
    <row r="95" spans="1:43" x14ac:dyDescent="0.2">
      <c r="A95" s="396" t="s">
        <v>73</v>
      </c>
      <c r="B95" s="349">
        <v>10</v>
      </c>
      <c r="C95" s="349">
        <v>62.7</v>
      </c>
      <c r="D95" s="349">
        <v>24.7</v>
      </c>
      <c r="E95" s="349">
        <v>17.7</v>
      </c>
      <c r="F95" s="349">
        <v>71.5</v>
      </c>
      <c r="G95" s="349">
        <v>7.3</v>
      </c>
      <c r="H95" s="349">
        <v>12.9</v>
      </c>
      <c r="I95" s="349">
        <v>71.400000000000006</v>
      </c>
      <c r="J95" s="372">
        <v>11.5</v>
      </c>
      <c r="K95" s="360">
        <v>10.4</v>
      </c>
      <c r="L95" s="360">
        <v>84.5</v>
      </c>
      <c r="M95" s="360">
        <v>2.2000000000000002</v>
      </c>
      <c r="N95" s="395">
        <v>23.3</v>
      </c>
      <c r="O95" s="359">
        <v>73</v>
      </c>
      <c r="P95" s="360">
        <v>0.9</v>
      </c>
      <c r="Q95" s="273">
        <v>26.6</v>
      </c>
      <c r="R95" s="350">
        <v>70.13</v>
      </c>
      <c r="S95" s="274">
        <v>0.06</v>
      </c>
      <c r="T95" s="349">
        <v>8.9</v>
      </c>
      <c r="U95" s="350">
        <v>83.9</v>
      </c>
      <c r="V95" s="274">
        <v>4.3</v>
      </c>
      <c r="W95" s="349">
        <v>3.11</v>
      </c>
      <c r="X95" s="350">
        <v>92.96</v>
      </c>
      <c r="Y95" s="352">
        <v>1.43</v>
      </c>
      <c r="Z95" s="349">
        <v>12.97</v>
      </c>
      <c r="AA95" s="349">
        <v>84.46</v>
      </c>
      <c r="AB95" s="383">
        <v>0.03</v>
      </c>
      <c r="AC95" s="355">
        <v>3.8121480755176136</v>
      </c>
      <c r="AD95" s="355">
        <v>94.706806460190435</v>
      </c>
      <c r="AE95" s="353">
        <v>2.8134780265217436E-2</v>
      </c>
      <c r="AF95" s="149">
        <v>4.7699999999999996</v>
      </c>
      <c r="AG95" s="356">
        <v>93.54</v>
      </c>
      <c r="AH95" s="357">
        <v>0.2</v>
      </c>
      <c r="AI95" s="357">
        <v>7.2024720778877986</v>
      </c>
      <c r="AJ95" s="357">
        <v>91.382329947235192</v>
      </c>
      <c r="AK95" s="357">
        <v>0.12872368148723531</v>
      </c>
      <c r="AL95" s="357">
        <v>6.51</v>
      </c>
      <c r="AM95" s="357">
        <v>91.85</v>
      </c>
      <c r="AN95" s="357">
        <v>0.96</v>
      </c>
      <c r="AO95" s="357">
        <v>2.5158006459853159</v>
      </c>
      <c r="AP95" s="357">
        <v>82.118088562136151</v>
      </c>
      <c r="AQ95" s="357">
        <v>0.25244207459587914</v>
      </c>
    </row>
    <row r="96" spans="1:43" x14ac:dyDescent="0.2">
      <c r="A96" s="396" t="s">
        <v>74</v>
      </c>
      <c r="B96" s="349">
        <v>26.4</v>
      </c>
      <c r="C96" s="349">
        <v>57.6</v>
      </c>
      <c r="D96" s="349">
        <v>14.7</v>
      </c>
      <c r="E96" s="349">
        <v>21.8</v>
      </c>
      <c r="F96" s="349">
        <v>69.099999999999994</v>
      </c>
      <c r="G96" s="349">
        <v>6.3</v>
      </c>
      <c r="H96" s="349">
        <v>11.3</v>
      </c>
      <c r="I96" s="349">
        <v>84.5</v>
      </c>
      <c r="J96" s="372">
        <v>1.3</v>
      </c>
      <c r="K96" s="360">
        <v>10.3</v>
      </c>
      <c r="L96" s="360">
        <v>78.8</v>
      </c>
      <c r="M96" s="360">
        <v>1.4</v>
      </c>
      <c r="N96" s="395">
        <v>10.9</v>
      </c>
      <c r="O96" s="360">
        <v>78.099999999999994</v>
      </c>
      <c r="P96" s="360">
        <v>1.6</v>
      </c>
      <c r="Q96" s="273">
        <v>13.83</v>
      </c>
      <c r="R96" s="350">
        <v>79.290000000000006</v>
      </c>
      <c r="S96" s="274">
        <v>1.59</v>
      </c>
      <c r="T96" s="349">
        <v>9</v>
      </c>
      <c r="U96" s="350">
        <v>86.5</v>
      </c>
      <c r="V96" s="274">
        <v>1.2</v>
      </c>
      <c r="W96" s="349">
        <v>7.35</v>
      </c>
      <c r="X96" s="350">
        <v>88.47</v>
      </c>
      <c r="Y96" s="352">
        <v>0.84</v>
      </c>
      <c r="Z96" s="349">
        <v>9.1</v>
      </c>
      <c r="AA96" s="349">
        <v>87.51</v>
      </c>
      <c r="AB96" s="349">
        <v>0.43</v>
      </c>
      <c r="AC96" s="355">
        <v>6.8265568073926257</v>
      </c>
      <c r="AD96" s="355">
        <v>89.809102676196517</v>
      </c>
      <c r="AE96" s="353">
        <v>0.37375442279877619</v>
      </c>
      <c r="AF96" s="149">
        <v>4.43</v>
      </c>
      <c r="AG96" s="356">
        <v>92.45</v>
      </c>
      <c r="AH96" s="357">
        <v>0.37</v>
      </c>
      <c r="AI96" s="357">
        <v>2.1903684891811985</v>
      </c>
      <c r="AJ96" s="357">
        <v>70.777714737012928</v>
      </c>
      <c r="AK96" s="357">
        <v>1.5477902749858803</v>
      </c>
      <c r="AL96" s="357">
        <v>2.41</v>
      </c>
      <c r="AM96" s="357">
        <v>74.95</v>
      </c>
      <c r="AN96" s="357">
        <v>5.56</v>
      </c>
      <c r="AO96" s="357">
        <v>5.4111110361770596</v>
      </c>
      <c r="AP96" s="357">
        <v>80.878059465280344</v>
      </c>
      <c r="AQ96" s="357">
        <v>1.6919780482500424</v>
      </c>
    </row>
    <row r="97" spans="1:43" x14ac:dyDescent="0.2">
      <c r="A97" s="396" t="s">
        <v>75</v>
      </c>
      <c r="B97" s="349">
        <v>30.2</v>
      </c>
      <c r="C97" s="349">
        <v>39.4</v>
      </c>
      <c r="D97" s="349">
        <v>28.4</v>
      </c>
      <c r="E97" s="349">
        <v>25.1</v>
      </c>
      <c r="F97" s="349">
        <v>54.6</v>
      </c>
      <c r="G97" s="349">
        <v>18.5</v>
      </c>
      <c r="H97" s="349">
        <v>21.6</v>
      </c>
      <c r="I97" s="349">
        <v>71.3</v>
      </c>
      <c r="J97" s="372">
        <v>2.5</v>
      </c>
      <c r="K97" s="360">
        <v>18.399999999999999</v>
      </c>
      <c r="L97" s="360">
        <v>65.7</v>
      </c>
      <c r="M97" s="360">
        <v>3.4</v>
      </c>
      <c r="N97" s="395">
        <v>21.9</v>
      </c>
      <c r="O97" s="360">
        <v>63.3</v>
      </c>
      <c r="P97" s="360">
        <v>2.2000000000000002</v>
      </c>
      <c r="Q97" s="273">
        <v>19.100000000000001</v>
      </c>
      <c r="R97" s="350">
        <v>69.89</v>
      </c>
      <c r="S97" s="274">
        <v>2.65</v>
      </c>
      <c r="T97" s="349">
        <v>15.3</v>
      </c>
      <c r="U97" s="350">
        <v>77.5</v>
      </c>
      <c r="V97" s="274">
        <v>2.4</v>
      </c>
      <c r="W97" s="349">
        <v>10.199999999999999</v>
      </c>
      <c r="X97" s="350">
        <v>85.3</v>
      </c>
      <c r="Y97" s="352">
        <v>1.64</v>
      </c>
      <c r="Z97" s="349">
        <v>11.58</v>
      </c>
      <c r="AA97" s="349">
        <v>81.5</v>
      </c>
      <c r="AB97" s="349">
        <v>1.52</v>
      </c>
      <c r="AC97" s="355">
        <v>8.9748032940186704</v>
      </c>
      <c r="AD97" s="355">
        <v>77.707844934380461</v>
      </c>
      <c r="AE97" s="353">
        <v>0.45969141957477716</v>
      </c>
      <c r="AF97" s="149">
        <v>4.9000000000000004</v>
      </c>
      <c r="AG97" s="356">
        <v>86.04</v>
      </c>
      <c r="AH97" s="357">
        <v>0.92</v>
      </c>
      <c r="AI97" s="357">
        <v>3.2904665005016107</v>
      </c>
      <c r="AJ97" s="357">
        <v>83.924787911800479</v>
      </c>
      <c r="AK97" s="357">
        <v>7.276011606929214</v>
      </c>
      <c r="AL97" s="357">
        <v>3.12</v>
      </c>
      <c r="AM97" s="357">
        <v>93.94</v>
      </c>
      <c r="AN97" s="357">
        <v>1.06</v>
      </c>
      <c r="AO97" s="357">
        <v>2.6335953520567235</v>
      </c>
      <c r="AP97" s="357">
        <v>93.571522841317531</v>
      </c>
      <c r="AQ97" s="357">
        <v>1.0557747030981406</v>
      </c>
    </row>
    <row r="98" spans="1:43" x14ac:dyDescent="0.2">
      <c r="A98" s="396" t="s">
        <v>76</v>
      </c>
      <c r="B98" s="349">
        <v>11.6</v>
      </c>
      <c r="C98" s="349">
        <v>41.7</v>
      </c>
      <c r="D98" s="349">
        <v>46.2</v>
      </c>
      <c r="E98" s="349">
        <v>3.9</v>
      </c>
      <c r="F98" s="349">
        <v>85.4</v>
      </c>
      <c r="G98" s="349">
        <v>7.1</v>
      </c>
      <c r="H98" s="349">
        <v>15.6</v>
      </c>
      <c r="I98" s="349">
        <v>73.3</v>
      </c>
      <c r="J98" s="372">
        <v>0.9</v>
      </c>
      <c r="K98" s="360">
        <v>4.0999999999999996</v>
      </c>
      <c r="L98" s="360">
        <v>81.599999999999994</v>
      </c>
      <c r="M98" s="397">
        <v>1</v>
      </c>
      <c r="N98" s="395">
        <v>5.4</v>
      </c>
      <c r="O98" s="360">
        <v>71.7</v>
      </c>
      <c r="P98" s="360">
        <v>0.4</v>
      </c>
      <c r="Q98" s="273">
        <v>18.93</v>
      </c>
      <c r="R98" s="350">
        <v>62.28</v>
      </c>
      <c r="S98" s="274">
        <v>1.04</v>
      </c>
      <c r="T98" s="349">
        <v>6.3</v>
      </c>
      <c r="U98" s="350">
        <v>73</v>
      </c>
      <c r="V98" s="274">
        <v>4.5</v>
      </c>
      <c r="W98" s="349">
        <v>23.31</v>
      </c>
      <c r="X98" s="350">
        <v>62.72</v>
      </c>
      <c r="Y98" s="352">
        <v>4.4400000000000004</v>
      </c>
      <c r="Z98" s="349">
        <v>11.82</v>
      </c>
      <c r="AA98" s="349">
        <v>79.569999999999993</v>
      </c>
      <c r="AB98" s="349">
        <v>0.94</v>
      </c>
      <c r="AC98" s="355">
        <v>4.48274394120428</v>
      </c>
      <c r="AD98" s="355">
        <v>89.105053525604845</v>
      </c>
      <c r="AE98" s="353">
        <v>0.6659170208515085</v>
      </c>
      <c r="AF98" s="149">
        <v>0.98</v>
      </c>
      <c r="AG98" s="356">
        <v>79.17</v>
      </c>
      <c r="AH98" s="357">
        <v>0.79</v>
      </c>
      <c r="AI98" s="357">
        <v>0.97356009846819525</v>
      </c>
      <c r="AJ98" s="357">
        <v>32.438724813891326</v>
      </c>
      <c r="AK98" s="357">
        <v>0.68763188716196066</v>
      </c>
      <c r="AL98" s="373">
        <v>0.03</v>
      </c>
      <c r="AM98" s="357">
        <v>66.67</v>
      </c>
      <c r="AN98" s="357">
        <v>0.51</v>
      </c>
      <c r="AO98" s="357">
        <v>9.3340825939345312E-2</v>
      </c>
      <c r="AP98" s="357">
        <v>81.369407708549886</v>
      </c>
      <c r="AQ98" s="357">
        <v>0.19414515672231084</v>
      </c>
    </row>
    <row r="99" spans="1:43" x14ac:dyDescent="0.2">
      <c r="A99" s="396" t="s">
        <v>77</v>
      </c>
      <c r="B99" s="349">
        <v>23.1</v>
      </c>
      <c r="C99" s="349">
        <v>44</v>
      </c>
      <c r="D99" s="349">
        <v>30.2</v>
      </c>
      <c r="E99" s="349">
        <v>14.3</v>
      </c>
      <c r="F99" s="349">
        <v>67.400000000000006</v>
      </c>
      <c r="G99" s="349">
        <v>15.3</v>
      </c>
      <c r="H99" s="349">
        <v>3.1</v>
      </c>
      <c r="I99" s="349">
        <v>93.9</v>
      </c>
      <c r="J99" s="372">
        <v>0.2</v>
      </c>
      <c r="K99" s="360">
        <v>2.4</v>
      </c>
      <c r="L99" s="360">
        <v>92.9</v>
      </c>
      <c r="M99" s="360">
        <v>2.1</v>
      </c>
      <c r="N99" s="395">
        <v>2.1</v>
      </c>
      <c r="O99" s="360">
        <v>86.2</v>
      </c>
      <c r="P99" s="360">
        <v>4.7</v>
      </c>
      <c r="Q99" s="273">
        <v>1.02</v>
      </c>
      <c r="R99" s="350">
        <v>84.1</v>
      </c>
      <c r="S99" s="274">
        <v>2.76</v>
      </c>
      <c r="T99" s="349">
        <v>0.6</v>
      </c>
      <c r="U99" s="350">
        <v>84.1</v>
      </c>
      <c r="V99" s="274">
        <v>0.7</v>
      </c>
      <c r="W99" s="349">
        <v>0.16</v>
      </c>
      <c r="X99" s="350">
        <v>94.68</v>
      </c>
      <c r="Y99" s="352">
        <v>0.38</v>
      </c>
      <c r="Z99" s="349">
        <v>0.56000000000000005</v>
      </c>
      <c r="AA99" s="349">
        <v>98.56</v>
      </c>
      <c r="AB99" s="383">
        <v>0.03</v>
      </c>
      <c r="AC99" s="355">
        <v>1.0219341432820706E-2</v>
      </c>
      <c r="AD99" s="355">
        <v>98.458711145672524</v>
      </c>
      <c r="AE99" s="353">
        <v>0.23335459509851356</v>
      </c>
      <c r="AF99" s="149" t="s">
        <v>90</v>
      </c>
      <c r="AG99" s="356">
        <v>96.8</v>
      </c>
      <c r="AH99" s="373">
        <v>0.02</v>
      </c>
      <c r="AI99" s="357">
        <v>5.1278895657703115E-4</v>
      </c>
      <c r="AJ99" s="357">
        <v>98.354585091307641</v>
      </c>
      <c r="AK99" s="373">
        <v>2.5452168383840817E-2</v>
      </c>
      <c r="AL99" s="357" t="s">
        <v>90</v>
      </c>
      <c r="AM99" s="357">
        <v>99.3</v>
      </c>
      <c r="AN99" s="357">
        <v>7.0000000000000007E-2</v>
      </c>
      <c r="AO99" s="357">
        <v>2.1889554980750436E-4</v>
      </c>
      <c r="AP99" s="357">
        <v>86.222197939409227</v>
      </c>
      <c r="AQ99" s="373">
        <v>3.9397696636553868E-2</v>
      </c>
    </row>
    <row r="100" spans="1:43" x14ac:dyDescent="0.2">
      <c r="A100" s="396" t="s">
        <v>78</v>
      </c>
      <c r="B100" s="349">
        <v>5.0999999999999996</v>
      </c>
      <c r="C100" s="349">
        <v>88.4</v>
      </c>
      <c r="D100" s="349">
        <v>4.8</v>
      </c>
      <c r="E100" s="349">
        <v>1</v>
      </c>
      <c r="F100" s="349">
        <v>45</v>
      </c>
      <c r="G100" s="349">
        <v>4.8</v>
      </c>
      <c r="H100" s="349">
        <v>1.2</v>
      </c>
      <c r="I100" s="349">
        <v>83.2</v>
      </c>
      <c r="J100" s="372">
        <v>1.4</v>
      </c>
      <c r="K100" s="360">
        <v>3.7</v>
      </c>
      <c r="L100" s="360">
        <v>89.1</v>
      </c>
      <c r="M100" s="360">
        <v>0.9</v>
      </c>
      <c r="N100" s="395">
        <v>3.5</v>
      </c>
      <c r="O100" s="360">
        <v>88.6</v>
      </c>
      <c r="P100" s="360" t="s">
        <v>90</v>
      </c>
      <c r="Q100" s="273">
        <v>4.75</v>
      </c>
      <c r="R100" s="350">
        <v>90.07</v>
      </c>
      <c r="S100" s="274">
        <v>0.08</v>
      </c>
      <c r="T100" s="349">
        <v>1.4</v>
      </c>
      <c r="U100" s="350">
        <v>85.8</v>
      </c>
      <c r="V100" s="274" t="s">
        <v>90</v>
      </c>
      <c r="W100" s="349">
        <v>0.15</v>
      </c>
      <c r="X100" s="350">
        <v>83.07</v>
      </c>
      <c r="Y100" s="352">
        <v>0.96</v>
      </c>
      <c r="Z100" s="349">
        <v>2.44</v>
      </c>
      <c r="AA100" s="349">
        <v>80.41</v>
      </c>
      <c r="AB100" s="383">
        <v>0.01</v>
      </c>
      <c r="AC100" s="355">
        <v>1.8041996505519389</v>
      </c>
      <c r="AD100" s="355">
        <v>62.953857867152287</v>
      </c>
      <c r="AE100" s="422">
        <v>1.0325062242125915E-3</v>
      </c>
      <c r="AF100" s="391">
        <v>2</v>
      </c>
      <c r="AG100" s="356">
        <v>80.709999999999994</v>
      </c>
      <c r="AH100" s="357" t="s">
        <v>90</v>
      </c>
      <c r="AI100" s="357">
        <v>1.9220863834399637</v>
      </c>
      <c r="AJ100" s="357">
        <v>78.642863274313711</v>
      </c>
      <c r="AK100" s="373">
        <v>7.1722829421240258E-3</v>
      </c>
      <c r="AL100" s="357">
        <v>1.56</v>
      </c>
      <c r="AM100" s="357">
        <v>84.91</v>
      </c>
      <c r="AN100" s="357">
        <v>0.06</v>
      </c>
      <c r="AO100" s="357">
        <v>0.7359860467637791</v>
      </c>
      <c r="AP100" s="357">
        <v>84.204735512502225</v>
      </c>
      <c r="AQ100" s="357">
        <v>0.10701374614169097</v>
      </c>
    </row>
    <row r="101" spans="1:43" s="10" customFormat="1" ht="21" customHeight="1" x14ac:dyDescent="0.2">
      <c r="A101" s="208" t="s">
        <v>79</v>
      </c>
      <c r="B101" s="349">
        <v>53.2</v>
      </c>
      <c r="C101" s="349">
        <v>35.200000000000003</v>
      </c>
      <c r="D101" s="349">
        <v>11.5</v>
      </c>
      <c r="E101" s="349">
        <v>24</v>
      </c>
      <c r="F101" s="349">
        <v>22.8</v>
      </c>
      <c r="G101" s="349">
        <v>52.9</v>
      </c>
      <c r="H101" s="349">
        <v>8.6</v>
      </c>
      <c r="I101" s="349">
        <v>89.4</v>
      </c>
      <c r="J101" s="372">
        <v>0.6</v>
      </c>
      <c r="K101" s="359">
        <v>10</v>
      </c>
      <c r="L101" s="360">
        <v>85.2</v>
      </c>
      <c r="M101" s="360">
        <v>1.2</v>
      </c>
      <c r="N101" s="361">
        <v>18.5</v>
      </c>
      <c r="O101" s="360">
        <v>74.900000000000006</v>
      </c>
      <c r="P101" s="360">
        <v>0.9</v>
      </c>
      <c r="Q101" s="273">
        <v>16.920000000000002</v>
      </c>
      <c r="R101" s="350">
        <v>79.28</v>
      </c>
      <c r="S101" s="274">
        <v>0.91</v>
      </c>
      <c r="T101" s="349">
        <v>13.9</v>
      </c>
      <c r="U101" s="350">
        <v>81</v>
      </c>
      <c r="V101" s="274">
        <v>4.8</v>
      </c>
      <c r="W101" s="349">
        <v>21.4</v>
      </c>
      <c r="X101" s="350">
        <v>69.099999999999994</v>
      </c>
      <c r="Y101" s="352">
        <v>1.5</v>
      </c>
      <c r="Z101" s="349">
        <v>35.020000000000003</v>
      </c>
      <c r="AA101" s="349">
        <v>62.87</v>
      </c>
      <c r="AB101" s="349" t="s">
        <v>90</v>
      </c>
      <c r="AC101" s="355">
        <v>32.003725347666695</v>
      </c>
      <c r="AD101" s="355">
        <v>67.470513187364091</v>
      </c>
      <c r="AE101" s="353">
        <v>0.42813294794802526</v>
      </c>
      <c r="AF101" s="391">
        <v>23.66</v>
      </c>
      <c r="AG101" s="356">
        <v>75.84</v>
      </c>
      <c r="AH101" s="357">
        <v>0.41</v>
      </c>
      <c r="AI101" s="357">
        <v>27.9</v>
      </c>
      <c r="AJ101" s="357">
        <v>70.3</v>
      </c>
      <c r="AK101" s="357">
        <v>1.5</v>
      </c>
      <c r="AL101" s="357">
        <v>28.2</v>
      </c>
      <c r="AM101" s="357">
        <v>67.599999999999994</v>
      </c>
      <c r="AN101" s="357">
        <v>3.1</v>
      </c>
      <c r="AO101" s="357">
        <v>24.020216575427877</v>
      </c>
      <c r="AP101" s="357">
        <v>67.860412752532454</v>
      </c>
      <c r="AQ101" s="357">
        <v>7.2792125343320633</v>
      </c>
    </row>
    <row r="102" spans="1:43" s="10" customFormat="1" x14ac:dyDescent="0.2">
      <c r="A102" s="178" t="s">
        <v>80</v>
      </c>
      <c r="B102" s="248">
        <v>36.5</v>
      </c>
      <c r="C102" s="249">
        <v>47.8</v>
      </c>
      <c r="D102" s="249">
        <v>3.6</v>
      </c>
      <c r="E102" s="180">
        <v>2.1</v>
      </c>
      <c r="F102" s="181">
        <v>86.4</v>
      </c>
      <c r="G102" s="181" t="s">
        <v>90</v>
      </c>
      <c r="H102" s="181">
        <v>18.3</v>
      </c>
      <c r="I102" s="181">
        <v>34.700000000000003</v>
      </c>
      <c r="J102" s="401">
        <v>47</v>
      </c>
      <c r="K102" s="182">
        <v>15.5</v>
      </c>
      <c r="L102" s="183">
        <v>20</v>
      </c>
      <c r="M102" s="182">
        <v>64.5</v>
      </c>
      <c r="N102" s="184">
        <v>10.3</v>
      </c>
      <c r="O102" s="182">
        <v>28.6</v>
      </c>
      <c r="P102" s="182">
        <v>55.8</v>
      </c>
      <c r="Q102" s="181">
        <v>21.77</v>
      </c>
      <c r="R102" s="181">
        <v>15.07</v>
      </c>
      <c r="S102" s="181">
        <v>54.25</v>
      </c>
      <c r="T102" s="181">
        <v>23.7</v>
      </c>
      <c r="U102" s="181">
        <v>44.4</v>
      </c>
      <c r="V102" s="181">
        <v>30.3</v>
      </c>
      <c r="W102" s="181">
        <v>4.5999999999999996</v>
      </c>
      <c r="X102" s="181">
        <v>66</v>
      </c>
      <c r="Y102" s="402">
        <v>26.3</v>
      </c>
      <c r="Z102" s="181">
        <v>4</v>
      </c>
      <c r="AA102" s="181">
        <v>95.3</v>
      </c>
      <c r="AB102" s="181" t="s">
        <v>90</v>
      </c>
      <c r="AC102" s="185">
        <v>3.5</v>
      </c>
      <c r="AD102" s="185">
        <v>88.2</v>
      </c>
      <c r="AE102" s="423" t="s">
        <v>90</v>
      </c>
      <c r="AF102" s="401">
        <v>2.98</v>
      </c>
      <c r="AG102" s="186">
        <v>93.5</v>
      </c>
      <c r="AH102" s="181">
        <v>0.37</v>
      </c>
      <c r="AI102" s="181">
        <v>0.7</v>
      </c>
      <c r="AJ102" s="181">
        <v>91.6</v>
      </c>
      <c r="AK102" s="181">
        <v>0.4</v>
      </c>
      <c r="AL102" s="181">
        <v>0.5</v>
      </c>
      <c r="AM102" s="181">
        <v>96.7</v>
      </c>
      <c r="AN102" s="181">
        <v>0.2</v>
      </c>
      <c r="AO102" s="181">
        <v>0.48778317617276135</v>
      </c>
      <c r="AP102" s="181">
        <v>97.504064859801446</v>
      </c>
      <c r="AQ102" s="181">
        <v>0.45690444876452407</v>
      </c>
    </row>
    <row r="103" spans="1:43" ht="24" customHeight="1" x14ac:dyDescent="0.25">
      <c r="B103" s="529" t="s">
        <v>159</v>
      </c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407"/>
    </row>
  </sheetData>
  <mergeCells count="18">
    <mergeCell ref="B103:P103"/>
    <mergeCell ref="B1:P1"/>
    <mergeCell ref="B2:P2"/>
    <mergeCell ref="A3:A4"/>
    <mergeCell ref="B3:D3"/>
    <mergeCell ref="E3:G3"/>
    <mergeCell ref="H3:J3"/>
    <mergeCell ref="K3:M3"/>
    <mergeCell ref="N3:P3"/>
    <mergeCell ref="AI3:AK3"/>
    <mergeCell ref="AL3:AN3"/>
    <mergeCell ref="AO3:AQ3"/>
    <mergeCell ref="Q3:S3"/>
    <mergeCell ref="T3:V3"/>
    <mergeCell ref="W3:Y3"/>
    <mergeCell ref="Z3:AB3"/>
    <mergeCell ref="AC3:AE3"/>
    <mergeCell ref="AF3:AH3"/>
  </mergeCells>
  <pageMargins left="0.74803149606299213" right="0.23622047244094491" top="0.74803149606299213" bottom="0.74803149606299213" header="0.31496062992125984" footer="0.31496062992125984"/>
  <pageSetup paperSize="9" scale="80" orientation="landscape" r:id="rId1"/>
  <headerFooter differentOddEven="1" differentFirst="1" alignWithMargins="0">
    <oddHeader>&amp;C&amp;7СТРОИТЕЛЬНЫЕ ОРГАНИЗАЦИИ&amp;R&amp;6&amp;UПродолжение таблицы 2.2.</oddHeader>
    <oddFooter>&amp;L&amp;P&amp;C&amp;8СТРОИТЕЛЬСТВО В РОССИИ. 2022&amp;R&amp;G</oddFooter>
    <evenHeader>&amp;C&amp;7СТРОИТЕЛЬНЫЕ ОРГАНИЗАЦИИ&amp;R&amp;6&amp;UПродолжение таблицы 2.2.</evenHeader>
    <evenFooter>&amp;L&amp;G&amp;C&amp;8СТРОИТЕЛЬСТВО В РОССИИ. 2022&amp;R&amp;P</evenFooter>
    <firstHeader>&amp;C&amp;7СТРОИТЕЛЬНЫЕ ОРГАНИЗАЦИИ</firstHeader>
    <firstFooter>&amp;L&amp;P&amp;C&amp;8СТРОИТЕЛЬСТВО В РОССИИ. 2022&amp;R&amp;G</firstFooter>
  </headerFooter>
  <rowBreaks count="2" manualBreakCount="2">
    <brk id="38" max="16383" man="1"/>
    <brk id="70" max="16383" man="1"/>
  </rowBreaks>
  <colBreaks count="2" manualBreakCount="2">
    <brk id="16" max="1048575" man="1"/>
    <brk id="31" max="1048575" man="1"/>
  </col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topLeftCell="A89" zoomScale="130" zoomScaleNormal="130" workbookViewId="0">
      <selection activeCell="A102" sqref="A102:N102"/>
    </sheetView>
  </sheetViews>
  <sheetFormatPr defaultColWidth="9.140625" defaultRowHeight="11.25" x14ac:dyDescent="0.2"/>
  <cols>
    <col min="1" max="1" width="23.7109375" style="2" customWidth="1"/>
    <col min="2" max="5" width="9.7109375" style="2" customWidth="1"/>
    <col min="6" max="6" width="9.7109375" style="22" customWidth="1"/>
    <col min="7" max="14" width="9.7109375" style="2" customWidth="1"/>
    <col min="15" max="16384" width="9.140625" style="2"/>
  </cols>
  <sheetData>
    <row r="1" spans="1:14" ht="15" customHeight="1" x14ac:dyDescent="0.25">
      <c r="A1" s="500" t="s">
        <v>130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</row>
    <row r="2" spans="1:14" ht="15" customHeight="1" x14ac:dyDescent="0.25">
      <c r="A2" s="502" t="s">
        <v>100</v>
      </c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</row>
    <row r="3" spans="1:14" s="26" customFormat="1" ht="15" customHeight="1" x14ac:dyDescent="0.2">
      <c r="A3" s="24"/>
      <c r="B3" s="36">
        <v>2005</v>
      </c>
      <c r="C3" s="33">
        <v>2010</v>
      </c>
      <c r="D3" s="33">
        <v>2011</v>
      </c>
      <c r="E3" s="34">
        <v>2012</v>
      </c>
      <c r="F3" s="37">
        <v>2013</v>
      </c>
      <c r="G3" s="33">
        <v>2014</v>
      </c>
      <c r="H3" s="35">
        <v>2015</v>
      </c>
      <c r="I3" s="33">
        <v>2016</v>
      </c>
      <c r="J3" s="33">
        <v>2017</v>
      </c>
      <c r="K3" s="33">
        <v>2018</v>
      </c>
      <c r="L3" s="33">
        <v>2019</v>
      </c>
      <c r="M3" s="255">
        <v>2020</v>
      </c>
      <c r="N3" s="478">
        <v>2021</v>
      </c>
    </row>
    <row r="4" spans="1:14" ht="15" customHeight="1" x14ac:dyDescent="0.2">
      <c r="A4" s="187" t="s">
        <v>1</v>
      </c>
      <c r="B4" s="188">
        <v>88</v>
      </c>
      <c r="C4" s="188">
        <v>90</v>
      </c>
      <c r="D4" s="188">
        <v>92</v>
      </c>
      <c r="E4" s="189">
        <v>90</v>
      </c>
      <c r="F4" s="190">
        <v>93</v>
      </c>
      <c r="G4" s="191">
        <v>90</v>
      </c>
      <c r="H4" s="1">
        <v>88</v>
      </c>
      <c r="I4" s="192">
        <v>94</v>
      </c>
      <c r="J4" s="193">
        <v>88</v>
      </c>
      <c r="K4" s="194">
        <v>89</v>
      </c>
      <c r="L4" s="195">
        <v>92</v>
      </c>
      <c r="M4" s="194">
        <v>86.671611380904508</v>
      </c>
      <c r="N4" s="479">
        <v>85.004739941038991</v>
      </c>
    </row>
    <row r="5" spans="1:14" ht="18.75" x14ac:dyDescent="0.2">
      <c r="A5" s="196" t="s">
        <v>108</v>
      </c>
      <c r="B5" s="134">
        <v>86.8</v>
      </c>
      <c r="C5" s="134">
        <v>83.9</v>
      </c>
      <c r="D5" s="134">
        <v>88.1</v>
      </c>
      <c r="E5" s="197">
        <v>83.2</v>
      </c>
      <c r="F5" s="198">
        <v>87.5</v>
      </c>
      <c r="G5" s="199">
        <v>83.6</v>
      </c>
      <c r="H5" s="109">
        <v>79.7</v>
      </c>
      <c r="I5" s="111">
        <v>98.9</v>
      </c>
      <c r="J5" s="200">
        <v>88.3</v>
      </c>
      <c r="K5" s="201">
        <v>95.873970691815458</v>
      </c>
      <c r="L5" s="202">
        <v>97.8</v>
      </c>
      <c r="M5" s="201">
        <v>88.241378652663201</v>
      </c>
      <c r="N5" s="480">
        <v>82.584976033095998</v>
      </c>
    </row>
    <row r="6" spans="1:14" ht="12" customHeight="1" x14ac:dyDescent="0.2">
      <c r="A6" s="203" t="s">
        <v>2</v>
      </c>
      <c r="B6" s="113">
        <v>81.5</v>
      </c>
      <c r="C6" s="113">
        <v>82.1</v>
      </c>
      <c r="D6" s="113">
        <v>89.5</v>
      </c>
      <c r="E6" s="114">
        <v>86</v>
      </c>
      <c r="F6" s="204">
        <v>85.8</v>
      </c>
      <c r="G6" s="63">
        <v>90.1</v>
      </c>
      <c r="H6" s="58">
        <v>79.099999999999994</v>
      </c>
      <c r="I6" s="64">
        <v>81.3</v>
      </c>
      <c r="J6" s="63">
        <v>85.2</v>
      </c>
      <c r="K6" s="205">
        <v>86.882798821321416</v>
      </c>
      <c r="L6" s="206">
        <v>95.3</v>
      </c>
      <c r="M6" s="205">
        <v>81.900439458818354</v>
      </c>
      <c r="N6" s="471">
        <v>79.729537943534496</v>
      </c>
    </row>
    <row r="7" spans="1:14" ht="12" customHeight="1" x14ac:dyDescent="0.2">
      <c r="A7" s="203" t="s">
        <v>3</v>
      </c>
      <c r="B7" s="113">
        <v>87.4</v>
      </c>
      <c r="C7" s="113">
        <v>91.3</v>
      </c>
      <c r="D7" s="113">
        <v>98</v>
      </c>
      <c r="E7" s="114">
        <v>81.900000000000006</v>
      </c>
      <c r="F7" s="204">
        <v>86.7</v>
      </c>
      <c r="G7" s="63">
        <v>166.8</v>
      </c>
      <c r="H7" s="58">
        <v>135</v>
      </c>
      <c r="I7" s="64">
        <v>91.6</v>
      </c>
      <c r="J7" s="63">
        <v>82</v>
      </c>
      <c r="K7" s="205">
        <v>79.843202951378288</v>
      </c>
      <c r="L7" s="63">
        <v>93.337359638601399</v>
      </c>
      <c r="M7" s="205">
        <v>87.450608058445823</v>
      </c>
      <c r="N7" s="471">
        <v>75.036258388576087</v>
      </c>
    </row>
    <row r="8" spans="1:14" ht="12" customHeight="1" x14ac:dyDescent="0.2">
      <c r="A8" s="203" t="s">
        <v>4</v>
      </c>
      <c r="B8" s="113">
        <v>92.7</v>
      </c>
      <c r="C8" s="113">
        <v>93.6</v>
      </c>
      <c r="D8" s="113">
        <v>98.9</v>
      </c>
      <c r="E8" s="114">
        <v>99.2</v>
      </c>
      <c r="F8" s="204">
        <v>95.6</v>
      </c>
      <c r="G8" s="63">
        <v>93.1</v>
      </c>
      <c r="H8" s="58">
        <v>114.5</v>
      </c>
      <c r="I8" s="64">
        <v>68.5</v>
      </c>
      <c r="J8" s="63">
        <v>54.5</v>
      </c>
      <c r="K8" s="205">
        <v>134.79631204140395</v>
      </c>
      <c r="L8" s="63">
        <v>80.599901249007374</v>
      </c>
      <c r="M8" s="205">
        <v>73.231092184706227</v>
      </c>
      <c r="N8" s="471">
        <v>95.432107127008678</v>
      </c>
    </row>
    <row r="9" spans="1:14" ht="12" customHeight="1" x14ac:dyDescent="0.2">
      <c r="A9" s="203" t="s">
        <v>5</v>
      </c>
      <c r="B9" s="113">
        <v>89.7</v>
      </c>
      <c r="C9" s="113">
        <v>93.8</v>
      </c>
      <c r="D9" s="113">
        <v>94.6</v>
      </c>
      <c r="E9" s="114">
        <v>97.5</v>
      </c>
      <c r="F9" s="204">
        <v>85.6</v>
      </c>
      <c r="G9" s="63">
        <v>91.6</v>
      </c>
      <c r="H9" s="58">
        <v>90.7</v>
      </c>
      <c r="I9" s="64">
        <v>94.5</v>
      </c>
      <c r="J9" s="63">
        <v>91.9</v>
      </c>
      <c r="K9" s="205">
        <v>87.76616793177466</v>
      </c>
      <c r="L9" s="63">
        <v>82.475583624064811</v>
      </c>
      <c r="M9" s="205">
        <v>78.932751257203478</v>
      </c>
      <c r="N9" s="471">
        <v>78.45327905278576</v>
      </c>
    </row>
    <row r="10" spans="1:14" ht="12" customHeight="1" x14ac:dyDescent="0.2">
      <c r="A10" s="203" t="s">
        <v>6</v>
      </c>
      <c r="B10" s="113">
        <v>84.8</v>
      </c>
      <c r="C10" s="113">
        <v>111.2</v>
      </c>
      <c r="D10" s="113">
        <v>83.1</v>
      </c>
      <c r="E10" s="114">
        <v>142.1</v>
      </c>
      <c r="F10" s="204">
        <v>144.5</v>
      </c>
      <c r="G10" s="63">
        <v>131.1</v>
      </c>
      <c r="H10" s="58">
        <v>124.3</v>
      </c>
      <c r="I10" s="64">
        <v>129.9</v>
      </c>
      <c r="J10" s="63">
        <v>151.1</v>
      </c>
      <c r="K10" s="205">
        <v>58.681145675522018</v>
      </c>
      <c r="L10" s="63">
        <v>91.748784895919542</v>
      </c>
      <c r="M10" s="205">
        <v>93.201876625340176</v>
      </c>
      <c r="N10" s="471">
        <v>94.780838968278317</v>
      </c>
    </row>
    <row r="11" spans="1:14" ht="12" customHeight="1" x14ac:dyDescent="0.2">
      <c r="A11" s="203" t="s">
        <v>7</v>
      </c>
      <c r="B11" s="113">
        <v>80.3</v>
      </c>
      <c r="C11" s="113">
        <v>76.8</v>
      </c>
      <c r="D11" s="113">
        <v>84.2</v>
      </c>
      <c r="E11" s="114">
        <v>78.7</v>
      </c>
      <c r="F11" s="204">
        <v>76.599999999999994</v>
      </c>
      <c r="G11" s="63">
        <v>81.900000000000006</v>
      </c>
      <c r="H11" s="58">
        <v>85.4</v>
      </c>
      <c r="I11" s="64">
        <v>77.599999999999994</v>
      </c>
      <c r="J11" s="63">
        <v>79.900000000000006</v>
      </c>
      <c r="K11" s="205">
        <v>68.935549078010894</v>
      </c>
      <c r="L11" s="63">
        <v>78.365797855522388</v>
      </c>
      <c r="M11" s="205">
        <v>85.597030670021084</v>
      </c>
      <c r="N11" s="471">
        <v>93.725233321205067</v>
      </c>
    </row>
    <row r="12" spans="1:14" ht="12" customHeight="1" x14ac:dyDescent="0.2">
      <c r="A12" s="203" t="s">
        <v>8</v>
      </c>
      <c r="B12" s="113">
        <v>79.400000000000006</v>
      </c>
      <c r="C12" s="113">
        <v>103.6</v>
      </c>
      <c r="D12" s="113">
        <v>93.1</v>
      </c>
      <c r="E12" s="114">
        <v>93.5</v>
      </c>
      <c r="F12" s="204">
        <v>91.6</v>
      </c>
      <c r="G12" s="63">
        <v>97.8</v>
      </c>
      <c r="H12" s="58">
        <v>71.5</v>
      </c>
      <c r="I12" s="64">
        <v>95.6</v>
      </c>
      <c r="J12" s="63">
        <v>100.1</v>
      </c>
      <c r="K12" s="205">
        <v>96.025780194781873</v>
      </c>
      <c r="L12" s="63">
        <v>89.858665124266821</v>
      </c>
      <c r="M12" s="205">
        <v>87.246696111158855</v>
      </c>
      <c r="N12" s="471">
        <v>97.426376426724829</v>
      </c>
    </row>
    <row r="13" spans="1:14" ht="12" customHeight="1" x14ac:dyDescent="0.2">
      <c r="A13" s="203" t="s">
        <v>9</v>
      </c>
      <c r="B13" s="113">
        <v>84.2</v>
      </c>
      <c r="C13" s="113">
        <v>88.2</v>
      </c>
      <c r="D13" s="113">
        <v>89.8</v>
      </c>
      <c r="E13" s="114">
        <v>86.3</v>
      </c>
      <c r="F13" s="204">
        <v>87.3</v>
      </c>
      <c r="G13" s="63">
        <v>75.8</v>
      </c>
      <c r="H13" s="58">
        <v>80.3</v>
      </c>
      <c r="I13" s="64">
        <v>92.6</v>
      </c>
      <c r="J13" s="63">
        <v>92.1</v>
      </c>
      <c r="K13" s="205">
        <v>98.507183577644113</v>
      </c>
      <c r="L13" s="63">
        <v>87.726438529717782</v>
      </c>
      <c r="M13" s="205">
        <v>109.97075478835983</v>
      </c>
      <c r="N13" s="471">
        <v>94.045645303485173</v>
      </c>
    </row>
    <row r="14" spans="1:14" ht="12" customHeight="1" x14ac:dyDescent="0.2">
      <c r="A14" s="203" t="s">
        <v>10</v>
      </c>
      <c r="B14" s="113">
        <v>81.8</v>
      </c>
      <c r="C14" s="113">
        <v>92.3</v>
      </c>
      <c r="D14" s="113">
        <v>96.4</v>
      </c>
      <c r="E14" s="114">
        <v>89.6</v>
      </c>
      <c r="F14" s="204">
        <v>95.7</v>
      </c>
      <c r="G14" s="63">
        <v>94.5</v>
      </c>
      <c r="H14" s="58">
        <v>95.7</v>
      </c>
      <c r="I14" s="64">
        <v>90.8</v>
      </c>
      <c r="J14" s="63">
        <v>99.2</v>
      </c>
      <c r="K14" s="205">
        <v>89.498133772702801</v>
      </c>
      <c r="L14" s="63">
        <v>86.063782941403261</v>
      </c>
      <c r="M14" s="205">
        <v>89.101477278330833</v>
      </c>
      <c r="N14" s="471">
        <v>82.764229591040532</v>
      </c>
    </row>
    <row r="15" spans="1:14" ht="12" customHeight="1" x14ac:dyDescent="0.2">
      <c r="A15" s="203" t="s">
        <v>11</v>
      </c>
      <c r="B15" s="113">
        <v>88.6</v>
      </c>
      <c r="C15" s="113">
        <v>94.2</v>
      </c>
      <c r="D15" s="113">
        <v>94.5</v>
      </c>
      <c r="E15" s="114">
        <v>103.9</v>
      </c>
      <c r="F15" s="204">
        <v>98.4</v>
      </c>
      <c r="G15" s="63">
        <v>90.1</v>
      </c>
      <c r="H15" s="58">
        <v>89.2</v>
      </c>
      <c r="I15" s="64">
        <v>90.1</v>
      </c>
      <c r="J15" s="63">
        <v>92</v>
      </c>
      <c r="K15" s="205">
        <v>91.096791612382148</v>
      </c>
      <c r="L15" s="63">
        <v>80.371083304244834</v>
      </c>
      <c r="M15" s="205">
        <v>78.118127043583286</v>
      </c>
      <c r="N15" s="471">
        <v>81.659153265990952</v>
      </c>
    </row>
    <row r="16" spans="1:14" ht="12" customHeight="1" x14ac:dyDescent="0.2">
      <c r="A16" s="203" t="s">
        <v>12</v>
      </c>
      <c r="B16" s="113">
        <v>99.6</v>
      </c>
      <c r="C16" s="113">
        <v>89.7</v>
      </c>
      <c r="D16" s="113">
        <v>92.1</v>
      </c>
      <c r="E16" s="114">
        <v>90.5</v>
      </c>
      <c r="F16" s="204">
        <v>85.5</v>
      </c>
      <c r="G16" s="63">
        <v>84.8</v>
      </c>
      <c r="H16" s="58">
        <v>82.2</v>
      </c>
      <c r="I16" s="64">
        <v>87</v>
      </c>
      <c r="J16" s="63">
        <v>86.2</v>
      </c>
      <c r="K16" s="205">
        <v>79.82772417325107</v>
      </c>
      <c r="L16" s="63">
        <v>78.955385969458206</v>
      </c>
      <c r="M16" s="205">
        <v>97.957843397694916</v>
      </c>
      <c r="N16" s="471">
        <v>82.307021225526853</v>
      </c>
    </row>
    <row r="17" spans="1:14" ht="12" customHeight="1" x14ac:dyDescent="0.2">
      <c r="A17" s="203" t="s">
        <v>13</v>
      </c>
      <c r="B17" s="113">
        <v>98.6</v>
      </c>
      <c r="C17" s="113">
        <v>93.6</v>
      </c>
      <c r="D17" s="113">
        <v>90.5</v>
      </c>
      <c r="E17" s="114">
        <v>75.8</v>
      </c>
      <c r="F17" s="204">
        <v>97.4</v>
      </c>
      <c r="G17" s="63">
        <v>84.4</v>
      </c>
      <c r="H17" s="58">
        <v>98.8</v>
      </c>
      <c r="I17" s="64">
        <v>91.4</v>
      </c>
      <c r="J17" s="63">
        <v>98.9</v>
      </c>
      <c r="K17" s="205">
        <v>79.022166398164487</v>
      </c>
      <c r="L17" s="63">
        <v>126.69786616254484</v>
      </c>
      <c r="M17" s="205">
        <v>80.079049983884275</v>
      </c>
      <c r="N17" s="471">
        <v>91.411282370396691</v>
      </c>
    </row>
    <row r="18" spans="1:14" ht="12" customHeight="1" x14ac:dyDescent="0.2">
      <c r="A18" s="203" t="s">
        <v>14</v>
      </c>
      <c r="B18" s="113">
        <v>104.7</v>
      </c>
      <c r="C18" s="113">
        <v>96.5</v>
      </c>
      <c r="D18" s="113">
        <v>89.2</v>
      </c>
      <c r="E18" s="114">
        <v>99</v>
      </c>
      <c r="F18" s="204">
        <v>88.8</v>
      </c>
      <c r="G18" s="63">
        <v>95.1</v>
      </c>
      <c r="H18" s="58">
        <v>101.5</v>
      </c>
      <c r="I18" s="64">
        <v>107.4</v>
      </c>
      <c r="J18" s="63">
        <v>92.5</v>
      </c>
      <c r="K18" s="205">
        <v>100.96667385223533</v>
      </c>
      <c r="L18" s="63">
        <v>99.488672340983769</v>
      </c>
      <c r="M18" s="205">
        <v>99.295565382364529</v>
      </c>
      <c r="N18" s="471">
        <v>96.714512636831145</v>
      </c>
    </row>
    <row r="19" spans="1:14" ht="12" customHeight="1" x14ac:dyDescent="0.2">
      <c r="A19" s="203" t="s">
        <v>15</v>
      </c>
      <c r="B19" s="113">
        <v>91.2</v>
      </c>
      <c r="C19" s="113">
        <v>99.3</v>
      </c>
      <c r="D19" s="113">
        <v>100.6</v>
      </c>
      <c r="E19" s="114">
        <v>97.5</v>
      </c>
      <c r="F19" s="204">
        <v>101.3</v>
      </c>
      <c r="G19" s="63">
        <v>86.4</v>
      </c>
      <c r="H19" s="58">
        <v>86.4</v>
      </c>
      <c r="I19" s="64">
        <v>101.8</v>
      </c>
      <c r="J19" s="63">
        <v>90.9</v>
      </c>
      <c r="K19" s="205">
        <v>92.287732741987995</v>
      </c>
      <c r="L19" s="63">
        <v>107.40689947033475</v>
      </c>
      <c r="M19" s="205">
        <v>101.17746771280298</v>
      </c>
      <c r="N19" s="471">
        <v>96.357726761774586</v>
      </c>
    </row>
    <row r="20" spans="1:14" ht="12" customHeight="1" x14ac:dyDescent="0.2">
      <c r="A20" s="203" t="s">
        <v>16</v>
      </c>
      <c r="B20" s="113">
        <v>79.900000000000006</v>
      </c>
      <c r="C20" s="113">
        <v>101</v>
      </c>
      <c r="D20" s="113">
        <v>101.1</v>
      </c>
      <c r="E20" s="114">
        <v>91.9</v>
      </c>
      <c r="F20" s="204">
        <v>92.3</v>
      </c>
      <c r="G20" s="63">
        <v>120.5</v>
      </c>
      <c r="H20" s="58">
        <v>108.2</v>
      </c>
      <c r="I20" s="64">
        <v>106.8</v>
      </c>
      <c r="J20" s="63">
        <v>111.5</v>
      </c>
      <c r="K20" s="205">
        <v>123.66031252268731</v>
      </c>
      <c r="L20" s="63">
        <v>107.4785042294107</v>
      </c>
      <c r="M20" s="205">
        <v>111.35666817972927</v>
      </c>
      <c r="N20" s="471">
        <v>134.76804172744423</v>
      </c>
    </row>
    <row r="21" spans="1:14" ht="12" customHeight="1" x14ac:dyDescent="0.2">
      <c r="A21" s="203" t="s">
        <v>17</v>
      </c>
      <c r="B21" s="113">
        <v>82.3</v>
      </c>
      <c r="C21" s="113">
        <v>103.8</v>
      </c>
      <c r="D21" s="113">
        <v>103.2</v>
      </c>
      <c r="E21" s="114">
        <v>96.2</v>
      </c>
      <c r="F21" s="204">
        <v>101.2</v>
      </c>
      <c r="G21" s="63">
        <v>110</v>
      </c>
      <c r="H21" s="58">
        <v>84.1</v>
      </c>
      <c r="I21" s="64">
        <v>96.2</v>
      </c>
      <c r="J21" s="63">
        <v>94.2</v>
      </c>
      <c r="K21" s="205">
        <v>93.486394384976364</v>
      </c>
      <c r="L21" s="63">
        <v>95.281118219255262</v>
      </c>
      <c r="M21" s="205">
        <v>98.343693286657683</v>
      </c>
      <c r="N21" s="471">
        <v>76.018926136443469</v>
      </c>
    </row>
    <row r="22" spans="1:14" ht="12" customHeight="1" x14ac:dyDescent="0.2">
      <c r="A22" s="203" t="s">
        <v>18</v>
      </c>
      <c r="B22" s="113">
        <v>97.7</v>
      </c>
      <c r="C22" s="113">
        <v>89.8</v>
      </c>
      <c r="D22" s="113">
        <v>78</v>
      </c>
      <c r="E22" s="114">
        <v>83.2</v>
      </c>
      <c r="F22" s="204">
        <v>73.900000000000006</v>
      </c>
      <c r="G22" s="63">
        <v>74</v>
      </c>
      <c r="H22" s="58">
        <v>86.1</v>
      </c>
      <c r="I22" s="64">
        <v>84.3</v>
      </c>
      <c r="J22" s="63">
        <v>100.6</v>
      </c>
      <c r="K22" s="205">
        <v>88.068571988474758</v>
      </c>
      <c r="L22" s="63">
        <v>100.32980146165836</v>
      </c>
      <c r="M22" s="205">
        <v>86.86593941155617</v>
      </c>
      <c r="N22" s="471">
        <v>86.672104070801083</v>
      </c>
    </row>
    <row r="23" spans="1:14" ht="12" customHeight="1" x14ac:dyDescent="0.2">
      <c r="A23" s="203" t="s">
        <v>19</v>
      </c>
      <c r="B23" s="113">
        <v>86.3</v>
      </c>
      <c r="C23" s="113">
        <v>79.900000000000006</v>
      </c>
      <c r="D23" s="113">
        <v>85.4</v>
      </c>
      <c r="E23" s="114">
        <v>76.599999999999994</v>
      </c>
      <c r="F23" s="204">
        <v>84.1</v>
      </c>
      <c r="G23" s="63">
        <v>79.599999999999994</v>
      </c>
      <c r="H23" s="58">
        <v>75.5</v>
      </c>
      <c r="I23" s="64">
        <v>102.4</v>
      </c>
      <c r="J23" s="63">
        <v>86.8</v>
      </c>
      <c r="K23" s="205">
        <v>98.515678872121327</v>
      </c>
      <c r="L23" s="206">
        <v>97.7</v>
      </c>
      <c r="M23" s="205">
        <v>89.793084076759357</v>
      </c>
      <c r="N23" s="471">
        <v>82.216472820293689</v>
      </c>
    </row>
    <row r="24" spans="1:14" ht="18.75" x14ac:dyDescent="0.2">
      <c r="A24" s="196" t="s">
        <v>109</v>
      </c>
      <c r="B24" s="134">
        <v>86.9</v>
      </c>
      <c r="C24" s="134">
        <v>85.3</v>
      </c>
      <c r="D24" s="134">
        <v>86.1</v>
      </c>
      <c r="E24" s="197">
        <v>85.8</v>
      </c>
      <c r="F24" s="198">
        <v>87.4</v>
      </c>
      <c r="G24" s="199">
        <v>83.3</v>
      </c>
      <c r="H24" s="109">
        <v>83.2</v>
      </c>
      <c r="I24" s="111">
        <v>82</v>
      </c>
      <c r="J24" s="199">
        <v>77.3</v>
      </c>
      <c r="K24" s="201">
        <v>78.139244716036245</v>
      </c>
      <c r="L24" s="199">
        <v>79.714093389913728</v>
      </c>
      <c r="M24" s="201">
        <v>79.542162623735507</v>
      </c>
      <c r="N24" s="480">
        <v>85.852452169537244</v>
      </c>
    </row>
    <row r="25" spans="1:14" ht="12" customHeight="1" x14ac:dyDescent="0.2">
      <c r="A25" s="203" t="s">
        <v>20</v>
      </c>
      <c r="B25" s="113">
        <v>81.5</v>
      </c>
      <c r="C25" s="113">
        <v>88.4</v>
      </c>
      <c r="D25" s="113">
        <v>88.9</v>
      </c>
      <c r="E25" s="114">
        <v>105.1</v>
      </c>
      <c r="F25" s="204">
        <v>96.5</v>
      </c>
      <c r="G25" s="63">
        <v>111.3</v>
      </c>
      <c r="H25" s="58">
        <v>114.6</v>
      </c>
      <c r="I25" s="64">
        <v>103.8</v>
      </c>
      <c r="J25" s="63">
        <v>107.6</v>
      </c>
      <c r="K25" s="205">
        <v>93.256204772429797</v>
      </c>
      <c r="L25" s="63">
        <v>97.406000811329548</v>
      </c>
      <c r="M25" s="205">
        <v>95.054101437086402</v>
      </c>
      <c r="N25" s="471">
        <v>101.91018439035422</v>
      </c>
    </row>
    <row r="26" spans="1:14" ht="12" customHeight="1" x14ac:dyDescent="0.2">
      <c r="A26" s="203" t="s">
        <v>21</v>
      </c>
      <c r="B26" s="113">
        <v>106.8</v>
      </c>
      <c r="C26" s="113">
        <v>92.9</v>
      </c>
      <c r="D26" s="113">
        <v>99.2</v>
      </c>
      <c r="E26" s="114">
        <v>95.4</v>
      </c>
      <c r="F26" s="204">
        <v>92.8</v>
      </c>
      <c r="G26" s="63">
        <v>95.1</v>
      </c>
      <c r="H26" s="58">
        <v>109.7</v>
      </c>
      <c r="I26" s="64">
        <v>107.4</v>
      </c>
      <c r="J26" s="63">
        <v>90.5</v>
      </c>
      <c r="K26" s="205">
        <v>100.90212010198469</v>
      </c>
      <c r="L26" s="63">
        <v>105.72766149590026</v>
      </c>
      <c r="M26" s="205">
        <v>84.441224122352466</v>
      </c>
      <c r="N26" s="471">
        <v>108.14737014540945</v>
      </c>
    </row>
    <row r="27" spans="1:14" ht="12" customHeight="1" x14ac:dyDescent="0.2">
      <c r="A27" s="203" t="s">
        <v>22</v>
      </c>
      <c r="B27" s="113">
        <v>86</v>
      </c>
      <c r="C27" s="113">
        <v>94.3</v>
      </c>
      <c r="D27" s="113">
        <v>97.7</v>
      </c>
      <c r="E27" s="114">
        <v>90.1</v>
      </c>
      <c r="F27" s="204">
        <v>90.2</v>
      </c>
      <c r="G27" s="63">
        <v>108.2</v>
      </c>
      <c r="H27" s="58">
        <v>105.8</v>
      </c>
      <c r="I27" s="64">
        <v>94.9</v>
      </c>
      <c r="J27" s="63">
        <v>101</v>
      </c>
      <c r="K27" s="205">
        <v>103.39641628521291</v>
      </c>
      <c r="L27" s="63">
        <v>119.6</v>
      </c>
      <c r="M27" s="205">
        <v>98.127480507223012</v>
      </c>
      <c r="N27" s="471">
        <v>87.59819832873437</v>
      </c>
    </row>
    <row r="28" spans="1:14" ht="12" customHeight="1" x14ac:dyDescent="0.2">
      <c r="A28" s="119" t="s">
        <v>58</v>
      </c>
      <c r="B28" s="113"/>
      <c r="C28" s="113"/>
      <c r="D28" s="113"/>
      <c r="E28" s="114"/>
      <c r="F28" s="204"/>
      <c r="G28" s="63"/>
      <c r="H28" s="58"/>
      <c r="I28" s="64"/>
      <c r="J28" s="206"/>
      <c r="K28" s="207"/>
      <c r="L28" s="63"/>
      <c r="M28" s="205"/>
      <c r="N28" s="471"/>
    </row>
    <row r="29" spans="1:14" ht="12" customHeight="1" x14ac:dyDescent="0.2">
      <c r="A29" s="121" t="s">
        <v>92</v>
      </c>
      <c r="B29" s="113">
        <v>78.900000000000006</v>
      </c>
      <c r="C29" s="113">
        <v>100.4</v>
      </c>
      <c r="D29" s="113">
        <v>108.6</v>
      </c>
      <c r="E29" s="114">
        <v>99.8</v>
      </c>
      <c r="F29" s="204">
        <v>87.6</v>
      </c>
      <c r="G29" s="63">
        <v>117.5</v>
      </c>
      <c r="H29" s="58">
        <v>103.4</v>
      </c>
      <c r="I29" s="64">
        <v>119.5</v>
      </c>
      <c r="J29" s="63">
        <v>96.4</v>
      </c>
      <c r="K29" s="205">
        <v>106.05937215090407</v>
      </c>
      <c r="L29" s="63">
        <v>109.161074147124</v>
      </c>
      <c r="M29" s="205">
        <v>136.699999340072</v>
      </c>
      <c r="N29" s="471">
        <v>87.252960522709358</v>
      </c>
    </row>
    <row r="30" spans="1:14" ht="18.95" customHeight="1" x14ac:dyDescent="0.2">
      <c r="A30" s="121" t="s">
        <v>84</v>
      </c>
      <c r="B30" s="113"/>
      <c r="C30" s="113"/>
      <c r="D30" s="113">
        <v>95.5</v>
      </c>
      <c r="E30" s="114">
        <v>88.4</v>
      </c>
      <c r="F30" s="204">
        <v>90.6</v>
      </c>
      <c r="G30" s="63">
        <v>105.9</v>
      </c>
      <c r="H30" s="58">
        <v>107</v>
      </c>
      <c r="I30" s="64">
        <v>85.1</v>
      </c>
      <c r="J30" s="63">
        <v>103.1</v>
      </c>
      <c r="K30" s="205">
        <v>101.91967585848796</v>
      </c>
      <c r="L30" s="63">
        <v>101.90544503683996</v>
      </c>
      <c r="M30" s="205">
        <v>93.930982135362427</v>
      </c>
      <c r="N30" s="471">
        <v>87.637714708958399</v>
      </c>
    </row>
    <row r="31" spans="1:14" ht="12" customHeight="1" x14ac:dyDescent="0.2">
      <c r="A31" s="203" t="s">
        <v>23</v>
      </c>
      <c r="B31" s="113">
        <v>90.3</v>
      </c>
      <c r="C31" s="113">
        <v>98</v>
      </c>
      <c r="D31" s="113">
        <v>97.5</v>
      </c>
      <c r="E31" s="114">
        <v>102.7</v>
      </c>
      <c r="F31" s="204">
        <v>91.1</v>
      </c>
      <c r="G31" s="63">
        <v>98.3</v>
      </c>
      <c r="H31" s="58">
        <v>105.6</v>
      </c>
      <c r="I31" s="64">
        <v>85.8</v>
      </c>
      <c r="J31" s="63">
        <v>106.1</v>
      </c>
      <c r="K31" s="205">
        <v>99.561282136534473</v>
      </c>
      <c r="L31" s="63">
        <v>95.581934651235727</v>
      </c>
      <c r="M31" s="205">
        <v>88.640724958118412</v>
      </c>
      <c r="N31" s="471">
        <v>79.745129783306623</v>
      </c>
    </row>
    <row r="32" spans="1:14" ht="12" customHeight="1" x14ac:dyDescent="0.2">
      <c r="A32" s="203" t="s">
        <v>24</v>
      </c>
      <c r="B32" s="113">
        <v>81.599999999999994</v>
      </c>
      <c r="C32" s="113">
        <v>95.4</v>
      </c>
      <c r="D32" s="113">
        <v>105</v>
      </c>
      <c r="E32" s="114">
        <v>84.2</v>
      </c>
      <c r="F32" s="204">
        <v>96.3</v>
      </c>
      <c r="G32" s="63">
        <v>93.7</v>
      </c>
      <c r="H32" s="58">
        <v>94.7</v>
      </c>
      <c r="I32" s="64">
        <v>91.3</v>
      </c>
      <c r="J32" s="63">
        <v>97.8</v>
      </c>
      <c r="K32" s="205">
        <v>88.74932968100228</v>
      </c>
      <c r="L32" s="63">
        <v>95.018001471500668</v>
      </c>
      <c r="M32" s="205">
        <v>77.870206424080166</v>
      </c>
      <c r="N32" s="471">
        <v>74.278697799658161</v>
      </c>
    </row>
    <row r="33" spans="1:14" ht="12" customHeight="1" x14ac:dyDescent="0.2">
      <c r="A33" s="203" t="s">
        <v>25</v>
      </c>
      <c r="B33" s="113">
        <v>91.9</v>
      </c>
      <c r="C33" s="113">
        <v>74.2</v>
      </c>
      <c r="D33" s="113">
        <v>76</v>
      </c>
      <c r="E33" s="114">
        <v>82.8</v>
      </c>
      <c r="F33" s="204">
        <v>80.3</v>
      </c>
      <c r="G33" s="63">
        <v>83.4</v>
      </c>
      <c r="H33" s="58">
        <v>76.5</v>
      </c>
      <c r="I33" s="64">
        <v>85.8</v>
      </c>
      <c r="J33" s="63">
        <v>86.5</v>
      </c>
      <c r="K33" s="205">
        <v>81.452704211724608</v>
      </c>
      <c r="L33" s="63">
        <v>92.924788042059248</v>
      </c>
      <c r="M33" s="205">
        <v>71.751795105217965</v>
      </c>
      <c r="N33" s="471">
        <v>79.155830838676053</v>
      </c>
    </row>
    <row r="34" spans="1:14" ht="12" customHeight="1" x14ac:dyDescent="0.2">
      <c r="A34" s="203" t="s">
        <v>26</v>
      </c>
      <c r="B34" s="113">
        <v>95.1</v>
      </c>
      <c r="C34" s="113">
        <v>100</v>
      </c>
      <c r="D34" s="113">
        <v>100.8</v>
      </c>
      <c r="E34" s="114">
        <v>102.7</v>
      </c>
      <c r="F34" s="204">
        <v>107.7</v>
      </c>
      <c r="G34" s="63">
        <v>108.7</v>
      </c>
      <c r="H34" s="58">
        <v>134.80000000000001</v>
      </c>
      <c r="I34" s="64">
        <v>104.7</v>
      </c>
      <c r="J34" s="63">
        <v>105.9</v>
      </c>
      <c r="K34" s="205">
        <v>101.18803282136325</v>
      </c>
      <c r="L34" s="63">
        <v>106.6211049611788</v>
      </c>
      <c r="M34" s="205">
        <v>104.7041175036957</v>
      </c>
      <c r="N34" s="471">
        <v>90.419384253269058</v>
      </c>
    </row>
    <row r="35" spans="1:14" ht="12" customHeight="1" x14ac:dyDescent="0.2">
      <c r="A35" s="203" t="s">
        <v>27</v>
      </c>
      <c r="B35" s="113">
        <v>82.5</v>
      </c>
      <c r="C35" s="113">
        <v>90.9</v>
      </c>
      <c r="D35" s="113">
        <v>89.8</v>
      </c>
      <c r="E35" s="114">
        <v>88</v>
      </c>
      <c r="F35" s="204">
        <v>95.9</v>
      </c>
      <c r="G35" s="63">
        <v>80.599999999999994</v>
      </c>
      <c r="H35" s="58">
        <v>71.8</v>
      </c>
      <c r="I35" s="64">
        <v>151.1</v>
      </c>
      <c r="J35" s="63">
        <v>88.6</v>
      </c>
      <c r="K35" s="205">
        <v>75.782922645760934</v>
      </c>
      <c r="L35" s="63">
        <v>94.276609463980705</v>
      </c>
      <c r="M35" s="205">
        <v>92.186340986451484</v>
      </c>
      <c r="N35" s="471">
        <v>97.894044067204533</v>
      </c>
    </row>
    <row r="36" spans="1:14" ht="12" customHeight="1" x14ac:dyDescent="0.2">
      <c r="A36" s="203" t="s">
        <v>28</v>
      </c>
      <c r="B36" s="113">
        <v>85.7</v>
      </c>
      <c r="C36" s="113">
        <v>96.3</v>
      </c>
      <c r="D36" s="113">
        <v>95.8</v>
      </c>
      <c r="E36" s="114">
        <v>92.3</v>
      </c>
      <c r="F36" s="204">
        <v>97.6</v>
      </c>
      <c r="G36" s="63">
        <v>83.7</v>
      </c>
      <c r="H36" s="58">
        <v>107.4</v>
      </c>
      <c r="I36" s="64">
        <v>96.8</v>
      </c>
      <c r="J36" s="63">
        <v>105</v>
      </c>
      <c r="K36" s="205">
        <v>90.763509653953619</v>
      </c>
      <c r="L36" s="63">
        <v>130.51238342630154</v>
      </c>
      <c r="M36" s="205">
        <v>90.653965877641824</v>
      </c>
      <c r="N36" s="471">
        <v>121.28602607204529</v>
      </c>
    </row>
    <row r="37" spans="1:14" ht="12" customHeight="1" x14ac:dyDescent="0.2">
      <c r="A37" s="203" t="s">
        <v>29</v>
      </c>
      <c r="B37" s="113">
        <v>83.4</v>
      </c>
      <c r="C37" s="113">
        <v>83.9</v>
      </c>
      <c r="D37" s="113">
        <v>84.7</v>
      </c>
      <c r="E37" s="114">
        <v>84.2</v>
      </c>
      <c r="F37" s="204">
        <v>87.3</v>
      </c>
      <c r="G37" s="63">
        <v>80.599999999999994</v>
      </c>
      <c r="H37" s="58">
        <v>80.900000000000006</v>
      </c>
      <c r="I37" s="64">
        <v>78.2</v>
      </c>
      <c r="J37" s="63">
        <v>71.2</v>
      </c>
      <c r="K37" s="205">
        <v>73.855741605945269</v>
      </c>
      <c r="L37" s="63">
        <v>73.085596350676568</v>
      </c>
      <c r="M37" s="205">
        <v>78.959189751316075</v>
      </c>
      <c r="N37" s="471">
        <v>87.183265044009474</v>
      </c>
    </row>
    <row r="38" spans="1:14" ht="18.75" x14ac:dyDescent="0.2">
      <c r="A38" s="196" t="s">
        <v>101</v>
      </c>
      <c r="B38" s="134" t="s">
        <v>39</v>
      </c>
      <c r="C38" s="134">
        <v>94.6</v>
      </c>
      <c r="D38" s="134">
        <v>96.1</v>
      </c>
      <c r="E38" s="197">
        <v>96.4</v>
      </c>
      <c r="F38" s="198">
        <v>106.9</v>
      </c>
      <c r="G38" s="199">
        <v>96.9</v>
      </c>
      <c r="H38" s="109">
        <v>95.3</v>
      </c>
      <c r="I38" s="111">
        <v>91.1</v>
      </c>
      <c r="J38" s="199">
        <v>90.9</v>
      </c>
      <c r="K38" s="201">
        <v>98.619843977059048</v>
      </c>
      <c r="L38" s="199">
        <v>95.557266706984166</v>
      </c>
      <c r="M38" s="201">
        <v>82.243423100130357</v>
      </c>
      <c r="N38" s="480">
        <v>75.717843508806297</v>
      </c>
    </row>
    <row r="39" spans="1:14" ht="12" customHeight="1" x14ac:dyDescent="0.2">
      <c r="A39" s="203" t="s">
        <v>30</v>
      </c>
      <c r="B39" s="113">
        <v>96</v>
      </c>
      <c r="C39" s="113">
        <v>100.2</v>
      </c>
      <c r="D39" s="113">
        <v>100.1</v>
      </c>
      <c r="E39" s="114">
        <v>94</v>
      </c>
      <c r="F39" s="204">
        <v>104.2</v>
      </c>
      <c r="G39" s="63">
        <v>87.4</v>
      </c>
      <c r="H39" s="58">
        <v>92.5</v>
      </c>
      <c r="I39" s="64">
        <v>80.599999999999994</v>
      </c>
      <c r="J39" s="63">
        <v>87.2</v>
      </c>
      <c r="K39" s="205">
        <v>80.789241794810167</v>
      </c>
      <c r="L39" s="63">
        <v>81.632775015579227</v>
      </c>
      <c r="M39" s="205">
        <v>84.881573709139062</v>
      </c>
      <c r="N39" s="471">
        <v>89.763090562279444</v>
      </c>
    </row>
    <row r="40" spans="1:14" ht="12" customHeight="1" x14ac:dyDescent="0.2">
      <c r="A40" s="203" t="s">
        <v>31</v>
      </c>
      <c r="B40" s="113">
        <v>73.900000000000006</v>
      </c>
      <c r="C40" s="113">
        <v>118.4</v>
      </c>
      <c r="D40" s="113">
        <v>99</v>
      </c>
      <c r="E40" s="114">
        <v>84.6</v>
      </c>
      <c r="F40" s="204">
        <v>87.7</v>
      </c>
      <c r="G40" s="63">
        <v>95</v>
      </c>
      <c r="H40" s="58">
        <v>76.8</v>
      </c>
      <c r="I40" s="64">
        <v>108.3</v>
      </c>
      <c r="J40" s="63">
        <v>100</v>
      </c>
      <c r="K40" s="205">
        <v>87.579034703745023</v>
      </c>
      <c r="L40" s="63">
        <v>51.962133003781666</v>
      </c>
      <c r="M40" s="205">
        <v>100.01174013519693</v>
      </c>
      <c r="N40" s="471">
        <v>98.001962382552662</v>
      </c>
    </row>
    <row r="41" spans="1:14" ht="12" customHeight="1" x14ac:dyDescent="0.2">
      <c r="A41" s="208" t="s">
        <v>116</v>
      </c>
      <c r="B41" s="209"/>
      <c r="C41" s="210"/>
      <c r="D41" s="210"/>
      <c r="E41" s="210"/>
      <c r="F41" s="211"/>
      <c r="G41" s="206">
        <v>111.2</v>
      </c>
      <c r="H41" s="212">
        <v>110.8</v>
      </c>
      <c r="I41" s="118">
        <v>109.1</v>
      </c>
      <c r="J41" s="63">
        <v>180.4</v>
      </c>
      <c r="K41" s="205">
        <v>245.43146169803072</v>
      </c>
      <c r="L41" s="63">
        <v>88.64278614387112</v>
      </c>
      <c r="M41" s="205">
        <v>79.487203787911923</v>
      </c>
      <c r="N41" s="471">
        <v>79.195123568481179</v>
      </c>
    </row>
    <row r="42" spans="1:14" ht="12" customHeight="1" x14ac:dyDescent="0.2">
      <c r="A42" s="203" t="s">
        <v>32</v>
      </c>
      <c r="B42" s="113">
        <v>92.4</v>
      </c>
      <c r="C42" s="113">
        <v>93.9</v>
      </c>
      <c r="D42" s="113">
        <v>94.9</v>
      </c>
      <c r="E42" s="114">
        <v>96.3</v>
      </c>
      <c r="F42" s="204">
        <v>102.3</v>
      </c>
      <c r="G42" s="63">
        <v>101.9</v>
      </c>
      <c r="H42" s="58">
        <v>96.6</v>
      </c>
      <c r="I42" s="64">
        <v>91.8</v>
      </c>
      <c r="J42" s="63">
        <v>82.4</v>
      </c>
      <c r="K42" s="205">
        <v>92.028377513875668</v>
      </c>
      <c r="L42" s="63">
        <v>94.931093103706402</v>
      </c>
      <c r="M42" s="205">
        <v>79.569928010971736</v>
      </c>
      <c r="N42" s="471">
        <v>67.561676817948268</v>
      </c>
    </row>
    <row r="43" spans="1:14" ht="12" customHeight="1" x14ac:dyDescent="0.2">
      <c r="A43" s="203" t="s">
        <v>33</v>
      </c>
      <c r="B43" s="113">
        <v>85.4</v>
      </c>
      <c r="C43" s="113">
        <v>98.6</v>
      </c>
      <c r="D43" s="113">
        <v>105.5</v>
      </c>
      <c r="E43" s="114">
        <v>90.9</v>
      </c>
      <c r="F43" s="204">
        <v>51</v>
      </c>
      <c r="G43" s="63">
        <v>89.2</v>
      </c>
      <c r="H43" s="58">
        <v>118.5</v>
      </c>
      <c r="I43" s="64">
        <v>92.6</v>
      </c>
      <c r="J43" s="63">
        <v>102.9</v>
      </c>
      <c r="K43" s="205">
        <v>91.836908164937142</v>
      </c>
      <c r="L43" s="63">
        <v>95.729273873924527</v>
      </c>
      <c r="M43" s="205">
        <v>85.474209895389109</v>
      </c>
      <c r="N43" s="471">
        <v>87.198859943526159</v>
      </c>
    </row>
    <row r="44" spans="1:14" ht="12" customHeight="1" x14ac:dyDescent="0.2">
      <c r="A44" s="203" t="s">
        <v>34</v>
      </c>
      <c r="B44" s="113">
        <v>82.1</v>
      </c>
      <c r="C44" s="113">
        <v>96.8</v>
      </c>
      <c r="D44" s="113">
        <v>100.9</v>
      </c>
      <c r="E44" s="114">
        <v>96.3</v>
      </c>
      <c r="F44" s="204">
        <v>108</v>
      </c>
      <c r="G44" s="63">
        <v>86.6</v>
      </c>
      <c r="H44" s="58">
        <v>88.7</v>
      </c>
      <c r="I44" s="64">
        <v>90.4</v>
      </c>
      <c r="J44" s="63">
        <v>95.2</v>
      </c>
      <c r="K44" s="205">
        <v>98.548400663107756</v>
      </c>
      <c r="L44" s="63">
        <v>129.49461546683577</v>
      </c>
      <c r="M44" s="205">
        <v>86.257247379707167</v>
      </c>
      <c r="N44" s="471">
        <v>91.279824606007693</v>
      </c>
    </row>
    <row r="45" spans="1:14" ht="12" customHeight="1" x14ac:dyDescent="0.2">
      <c r="A45" s="203" t="s">
        <v>35</v>
      </c>
      <c r="B45" s="113">
        <v>90.9</v>
      </c>
      <c r="C45" s="113">
        <v>93.3</v>
      </c>
      <c r="D45" s="113">
        <v>95.1</v>
      </c>
      <c r="E45" s="114">
        <v>98.6</v>
      </c>
      <c r="F45" s="204">
        <v>92.9</v>
      </c>
      <c r="G45" s="63">
        <v>95.3</v>
      </c>
      <c r="H45" s="58">
        <v>95.8</v>
      </c>
      <c r="I45" s="64">
        <v>89.1</v>
      </c>
      <c r="J45" s="63">
        <v>91.2</v>
      </c>
      <c r="K45" s="205">
        <v>97.801781500102763</v>
      </c>
      <c r="L45" s="63">
        <v>91.938737505499418</v>
      </c>
      <c r="M45" s="205">
        <v>91.775724093534066</v>
      </c>
      <c r="N45" s="471">
        <v>86.701264101022389</v>
      </c>
    </row>
    <row r="46" spans="1:14" ht="12" customHeight="1" x14ac:dyDescent="0.2">
      <c r="A46" s="213" t="s">
        <v>117</v>
      </c>
      <c r="B46" s="210"/>
      <c r="C46" s="214"/>
      <c r="D46" s="210"/>
      <c r="E46" s="214"/>
      <c r="F46" s="215"/>
      <c r="G46" s="58">
        <v>163</v>
      </c>
      <c r="H46" s="63">
        <v>179</v>
      </c>
      <c r="I46" s="58">
        <v>71.2</v>
      </c>
      <c r="J46" s="63">
        <v>68.400000000000006</v>
      </c>
      <c r="K46" s="205">
        <v>98.840205570712044</v>
      </c>
      <c r="L46" s="63">
        <v>93.616995428854395</v>
      </c>
      <c r="M46" s="205">
        <v>90.9397551373971</v>
      </c>
      <c r="N46" s="471">
        <v>317.76984623748677</v>
      </c>
    </row>
    <row r="47" spans="1:14" ht="19.5" customHeight="1" x14ac:dyDescent="0.2">
      <c r="A47" s="196" t="s">
        <v>110</v>
      </c>
      <c r="B47" s="134" t="s">
        <v>39</v>
      </c>
      <c r="C47" s="134">
        <v>96.1</v>
      </c>
      <c r="D47" s="134">
        <v>101.7</v>
      </c>
      <c r="E47" s="197">
        <v>90.3</v>
      </c>
      <c r="F47" s="198">
        <v>95.5</v>
      </c>
      <c r="G47" s="199">
        <v>94</v>
      </c>
      <c r="H47" s="109">
        <v>91.4</v>
      </c>
      <c r="I47" s="111">
        <v>85.9</v>
      </c>
      <c r="J47" s="199">
        <v>82.8</v>
      </c>
      <c r="K47" s="201">
        <v>90.507350697698357</v>
      </c>
      <c r="L47" s="199">
        <v>91.330121514384686</v>
      </c>
      <c r="M47" s="201">
        <v>90.80856133482834</v>
      </c>
      <c r="N47" s="480">
        <v>88.103871567611222</v>
      </c>
    </row>
    <row r="48" spans="1:14" ht="12" customHeight="1" x14ac:dyDescent="0.2">
      <c r="A48" s="203" t="s">
        <v>36</v>
      </c>
      <c r="B48" s="113">
        <v>87.5</v>
      </c>
      <c r="C48" s="113">
        <v>79.2</v>
      </c>
      <c r="D48" s="113">
        <v>88.3</v>
      </c>
      <c r="E48" s="114">
        <v>94.6</v>
      </c>
      <c r="F48" s="204">
        <v>105.6</v>
      </c>
      <c r="G48" s="63">
        <v>93.8</v>
      </c>
      <c r="H48" s="58">
        <v>84.7</v>
      </c>
      <c r="I48" s="64">
        <v>76.400000000000006</v>
      </c>
      <c r="J48" s="63">
        <v>94.5</v>
      </c>
      <c r="K48" s="205">
        <v>87.794834215433326</v>
      </c>
      <c r="L48" s="63">
        <v>74.785846737181117</v>
      </c>
      <c r="M48" s="205">
        <v>85.531219232414202</v>
      </c>
      <c r="N48" s="471">
        <v>77.601472379602484</v>
      </c>
    </row>
    <row r="49" spans="1:14" ht="12" customHeight="1" x14ac:dyDescent="0.2">
      <c r="A49" s="203" t="s">
        <v>37</v>
      </c>
      <c r="B49" s="113">
        <v>144.6</v>
      </c>
      <c r="C49" s="113">
        <v>99.5</v>
      </c>
      <c r="D49" s="113">
        <v>111.7</v>
      </c>
      <c r="E49" s="114">
        <v>110</v>
      </c>
      <c r="F49" s="204">
        <v>5.5</v>
      </c>
      <c r="G49" s="63">
        <v>100</v>
      </c>
      <c r="H49" s="58">
        <v>119.4</v>
      </c>
      <c r="I49" s="64">
        <v>98.8</v>
      </c>
      <c r="J49" s="63">
        <v>75.099999999999994</v>
      </c>
      <c r="K49" s="205">
        <v>94.294395473078396</v>
      </c>
      <c r="L49" s="63">
        <v>93.745696465481899</v>
      </c>
      <c r="M49" s="205">
        <v>79.071021443307117</v>
      </c>
      <c r="N49" s="471">
        <v>94.951168545890823</v>
      </c>
    </row>
    <row r="50" spans="1:14" ht="12" customHeight="1" x14ac:dyDescent="0.2">
      <c r="A50" s="203" t="s">
        <v>81</v>
      </c>
      <c r="B50" s="113">
        <v>83.7</v>
      </c>
      <c r="C50" s="113">
        <v>84.1</v>
      </c>
      <c r="D50" s="113">
        <v>97.7</v>
      </c>
      <c r="E50" s="114">
        <v>73.599999999999994</v>
      </c>
      <c r="F50" s="204">
        <v>90</v>
      </c>
      <c r="G50" s="63">
        <v>90.8</v>
      </c>
      <c r="H50" s="58">
        <v>84.7</v>
      </c>
      <c r="I50" s="64">
        <v>75.2</v>
      </c>
      <c r="J50" s="63">
        <v>75.5</v>
      </c>
      <c r="K50" s="205">
        <v>96.357595462689787</v>
      </c>
      <c r="L50" s="63">
        <v>89.813513911330858</v>
      </c>
      <c r="M50" s="205">
        <v>93.596487238955675</v>
      </c>
      <c r="N50" s="471">
        <v>103.56274396537101</v>
      </c>
    </row>
    <row r="51" spans="1:14" ht="12" customHeight="1" x14ac:dyDescent="0.2">
      <c r="A51" s="203" t="s">
        <v>82</v>
      </c>
      <c r="B51" s="113">
        <v>89.2</v>
      </c>
      <c r="C51" s="113">
        <v>93.1</v>
      </c>
      <c r="D51" s="113">
        <v>97.2</v>
      </c>
      <c r="E51" s="114">
        <v>84.5</v>
      </c>
      <c r="F51" s="204">
        <v>92.7</v>
      </c>
      <c r="G51" s="63">
        <v>83.4</v>
      </c>
      <c r="H51" s="58">
        <v>93.3</v>
      </c>
      <c r="I51" s="64">
        <v>80.599999999999994</v>
      </c>
      <c r="J51" s="63">
        <v>88.1</v>
      </c>
      <c r="K51" s="205">
        <v>94.241373043499507</v>
      </c>
      <c r="L51" s="63">
        <v>108.26386470570134</v>
      </c>
      <c r="M51" s="205">
        <v>98.901081983915162</v>
      </c>
      <c r="N51" s="471">
        <v>89.121824806630642</v>
      </c>
    </row>
    <row r="52" spans="1:14" ht="18.95" customHeight="1" x14ac:dyDescent="0.2">
      <c r="A52" s="203" t="s">
        <v>38</v>
      </c>
      <c r="B52" s="113">
        <v>92.7</v>
      </c>
      <c r="C52" s="113">
        <v>117.1</v>
      </c>
      <c r="D52" s="113">
        <v>108.3</v>
      </c>
      <c r="E52" s="114">
        <v>106.2</v>
      </c>
      <c r="F52" s="204">
        <v>114.8</v>
      </c>
      <c r="G52" s="63">
        <v>100.7</v>
      </c>
      <c r="H52" s="58">
        <v>65.2</v>
      </c>
      <c r="I52" s="64">
        <v>87.9</v>
      </c>
      <c r="J52" s="63">
        <v>75.2</v>
      </c>
      <c r="K52" s="205">
        <v>100.43992379964105</v>
      </c>
      <c r="L52" s="63">
        <v>81.284018407401078</v>
      </c>
      <c r="M52" s="205">
        <v>91.537258359375642</v>
      </c>
      <c r="N52" s="471">
        <v>112.86688520888157</v>
      </c>
    </row>
    <row r="53" spans="1:14" ht="12" customHeight="1" x14ac:dyDescent="0.2">
      <c r="A53" s="203" t="s">
        <v>93</v>
      </c>
      <c r="B53" s="113" t="s">
        <v>39</v>
      </c>
      <c r="C53" s="113">
        <v>113</v>
      </c>
      <c r="D53" s="113">
        <v>117.9</v>
      </c>
      <c r="E53" s="114">
        <v>90.1</v>
      </c>
      <c r="F53" s="204">
        <v>85.5</v>
      </c>
      <c r="G53" s="63">
        <v>92.8</v>
      </c>
      <c r="H53" s="58">
        <v>95.2</v>
      </c>
      <c r="I53" s="64">
        <v>105.7</v>
      </c>
      <c r="J53" s="63">
        <v>99.8</v>
      </c>
      <c r="K53" s="205">
        <v>86.084552343230442</v>
      </c>
      <c r="L53" s="63">
        <v>107.07096525860538</v>
      </c>
      <c r="M53" s="205">
        <v>91.291369931728781</v>
      </c>
      <c r="N53" s="471">
        <v>83.590116531277943</v>
      </c>
    </row>
    <row r="54" spans="1:14" ht="12" customHeight="1" x14ac:dyDescent="0.2">
      <c r="A54" s="203" t="s">
        <v>40</v>
      </c>
      <c r="B54" s="113">
        <v>93.9</v>
      </c>
      <c r="C54" s="113">
        <v>88.8</v>
      </c>
      <c r="D54" s="113">
        <v>97.9</v>
      </c>
      <c r="E54" s="114">
        <v>88.7</v>
      </c>
      <c r="F54" s="204">
        <v>94.2</v>
      </c>
      <c r="G54" s="63">
        <v>96.6</v>
      </c>
      <c r="H54" s="58">
        <v>98.3</v>
      </c>
      <c r="I54" s="64">
        <v>86.8</v>
      </c>
      <c r="J54" s="63">
        <v>76.5</v>
      </c>
      <c r="K54" s="205">
        <v>91.15053499764268</v>
      </c>
      <c r="L54" s="63">
        <v>90.26580482629015</v>
      </c>
      <c r="M54" s="205">
        <v>91.266189739624338</v>
      </c>
      <c r="N54" s="471">
        <v>99.910438403612105</v>
      </c>
    </row>
    <row r="55" spans="1:14" ht="18.75" x14ac:dyDescent="0.2">
      <c r="A55" s="196" t="s">
        <v>111</v>
      </c>
      <c r="B55" s="134">
        <v>88</v>
      </c>
      <c r="C55" s="134">
        <v>95.7</v>
      </c>
      <c r="D55" s="134">
        <v>94.2</v>
      </c>
      <c r="E55" s="197">
        <v>95.4</v>
      </c>
      <c r="F55" s="198">
        <v>100.2</v>
      </c>
      <c r="G55" s="199">
        <v>97</v>
      </c>
      <c r="H55" s="109">
        <v>92</v>
      </c>
      <c r="I55" s="111">
        <v>95.2</v>
      </c>
      <c r="J55" s="199">
        <v>90.3</v>
      </c>
      <c r="K55" s="201">
        <v>93.278704511253636</v>
      </c>
      <c r="L55" s="199">
        <v>91.095699884354133</v>
      </c>
      <c r="M55" s="201">
        <v>90.801060805510133</v>
      </c>
      <c r="N55" s="480">
        <v>92.787812982419695</v>
      </c>
    </row>
    <row r="56" spans="1:14" ht="12" customHeight="1" x14ac:dyDescent="0.2">
      <c r="A56" s="203" t="s">
        <v>41</v>
      </c>
      <c r="B56" s="113">
        <v>91.4</v>
      </c>
      <c r="C56" s="113">
        <v>92.6</v>
      </c>
      <c r="D56" s="113">
        <v>90.5</v>
      </c>
      <c r="E56" s="114">
        <v>89.9</v>
      </c>
      <c r="F56" s="204">
        <v>99.4</v>
      </c>
      <c r="G56" s="63">
        <v>98.7</v>
      </c>
      <c r="H56" s="58">
        <v>93.8</v>
      </c>
      <c r="I56" s="64">
        <v>102.2</v>
      </c>
      <c r="J56" s="63">
        <v>97.1</v>
      </c>
      <c r="K56" s="205">
        <v>90.960507202090639</v>
      </c>
      <c r="L56" s="63">
        <v>91.181361504289953</v>
      </c>
      <c r="M56" s="205">
        <v>91.506425480200889</v>
      </c>
      <c r="N56" s="471">
        <v>92.901147430790132</v>
      </c>
    </row>
    <row r="57" spans="1:14" ht="12" customHeight="1" x14ac:dyDescent="0.2">
      <c r="A57" s="203" t="s">
        <v>42</v>
      </c>
      <c r="B57" s="113">
        <v>87.2</v>
      </c>
      <c r="C57" s="113">
        <v>99.6</v>
      </c>
      <c r="D57" s="113">
        <v>97.4</v>
      </c>
      <c r="E57" s="114">
        <v>98</v>
      </c>
      <c r="F57" s="204">
        <v>103.3</v>
      </c>
      <c r="G57" s="63">
        <v>94.4</v>
      </c>
      <c r="H57" s="58">
        <v>98.1</v>
      </c>
      <c r="I57" s="64">
        <v>105.5</v>
      </c>
      <c r="J57" s="63">
        <v>106.4</v>
      </c>
      <c r="K57" s="205">
        <v>102.83504451946324</v>
      </c>
      <c r="L57" s="63">
        <v>93.878726507656125</v>
      </c>
      <c r="M57" s="205">
        <v>90.94429475115335</v>
      </c>
      <c r="N57" s="471">
        <v>93.326170484286635</v>
      </c>
    </row>
    <row r="58" spans="1:14" ht="12" customHeight="1" x14ac:dyDescent="0.2">
      <c r="A58" s="203" t="s">
        <v>43</v>
      </c>
      <c r="B58" s="113" t="s">
        <v>39</v>
      </c>
      <c r="C58" s="113">
        <v>87.7</v>
      </c>
      <c r="D58" s="113">
        <v>72.5</v>
      </c>
      <c r="E58" s="114">
        <v>87.9</v>
      </c>
      <c r="F58" s="204">
        <v>96.5</v>
      </c>
      <c r="G58" s="63">
        <v>97</v>
      </c>
      <c r="H58" s="58">
        <v>90.6</v>
      </c>
      <c r="I58" s="64">
        <v>85.3</v>
      </c>
      <c r="J58" s="63">
        <v>91</v>
      </c>
      <c r="K58" s="205">
        <v>89.270242723112119</v>
      </c>
      <c r="L58" s="63">
        <v>92.333185294789402</v>
      </c>
      <c r="M58" s="205">
        <v>87.127472861882623</v>
      </c>
      <c r="N58" s="471">
        <v>91.528530813659927</v>
      </c>
    </row>
    <row r="59" spans="1:14" ht="12" customHeight="1" x14ac:dyDescent="0.2">
      <c r="A59" s="203" t="s">
        <v>44</v>
      </c>
      <c r="B59" s="113">
        <v>79.5</v>
      </c>
      <c r="C59" s="113">
        <v>95.5</v>
      </c>
      <c r="D59" s="113">
        <v>94.1</v>
      </c>
      <c r="E59" s="114">
        <v>94.7</v>
      </c>
      <c r="F59" s="204">
        <v>96.1</v>
      </c>
      <c r="G59" s="63">
        <v>103</v>
      </c>
      <c r="H59" s="58">
        <v>88.6</v>
      </c>
      <c r="I59" s="64">
        <v>98.3</v>
      </c>
      <c r="J59" s="63">
        <v>81.599999999999994</v>
      </c>
      <c r="K59" s="205">
        <v>89.755092560026256</v>
      </c>
      <c r="L59" s="63">
        <v>92.818765662122885</v>
      </c>
      <c r="M59" s="205">
        <v>98.23090710291612</v>
      </c>
      <c r="N59" s="471">
        <v>89.617001849694333</v>
      </c>
    </row>
    <row r="60" spans="1:14" ht="12" customHeight="1" x14ac:dyDescent="0.2">
      <c r="A60" s="203" t="s">
        <v>45</v>
      </c>
      <c r="B60" s="113">
        <v>91.5</v>
      </c>
      <c r="C60" s="113">
        <v>107.3</v>
      </c>
      <c r="D60" s="113">
        <v>103.8</v>
      </c>
      <c r="E60" s="114">
        <v>102</v>
      </c>
      <c r="F60" s="204">
        <v>114.5</v>
      </c>
      <c r="G60" s="63">
        <v>108.6</v>
      </c>
      <c r="H60" s="58">
        <v>90.8</v>
      </c>
      <c r="I60" s="64">
        <v>100</v>
      </c>
      <c r="J60" s="63">
        <v>123.7</v>
      </c>
      <c r="K60" s="205">
        <v>131.92522161894141</v>
      </c>
      <c r="L60" s="63">
        <v>122.11137959711782</v>
      </c>
      <c r="M60" s="205">
        <v>100.56532654436377</v>
      </c>
      <c r="N60" s="471">
        <v>107.1761536555526</v>
      </c>
    </row>
    <row r="61" spans="1:14" ht="12" customHeight="1" x14ac:dyDescent="0.2">
      <c r="A61" s="203" t="s">
        <v>46</v>
      </c>
      <c r="B61" s="113">
        <v>92.8</v>
      </c>
      <c r="C61" s="113">
        <v>93.1</v>
      </c>
      <c r="D61" s="113">
        <v>88.9</v>
      </c>
      <c r="E61" s="114">
        <v>96</v>
      </c>
      <c r="F61" s="204">
        <v>86.8</v>
      </c>
      <c r="G61" s="63">
        <v>87.4</v>
      </c>
      <c r="H61" s="58">
        <v>90.8</v>
      </c>
      <c r="I61" s="64">
        <v>91.2</v>
      </c>
      <c r="J61" s="63">
        <v>94.3</v>
      </c>
      <c r="K61" s="205">
        <v>96.440712764953176</v>
      </c>
      <c r="L61" s="63">
        <v>93.549015744025738</v>
      </c>
      <c r="M61" s="205">
        <v>94.216191344723669</v>
      </c>
      <c r="N61" s="471">
        <v>99.796677106047696</v>
      </c>
    </row>
    <row r="62" spans="1:14" ht="12" customHeight="1" x14ac:dyDescent="0.2">
      <c r="A62" s="203" t="s">
        <v>47</v>
      </c>
      <c r="B62" s="113">
        <v>92.1</v>
      </c>
      <c r="C62" s="113">
        <v>94.8</v>
      </c>
      <c r="D62" s="113">
        <v>103.8</v>
      </c>
      <c r="E62" s="114">
        <v>99.6</v>
      </c>
      <c r="F62" s="204">
        <v>103.6</v>
      </c>
      <c r="G62" s="63">
        <v>89.6</v>
      </c>
      <c r="H62" s="58">
        <v>95.4</v>
      </c>
      <c r="I62" s="64">
        <v>92.3</v>
      </c>
      <c r="J62" s="63">
        <v>95.9</v>
      </c>
      <c r="K62" s="205">
        <v>95.534883143506889</v>
      </c>
      <c r="L62" s="63">
        <v>88.993956100910609</v>
      </c>
      <c r="M62" s="205">
        <v>73.513341832604752</v>
      </c>
      <c r="N62" s="471">
        <v>90.431987151365135</v>
      </c>
    </row>
    <row r="63" spans="1:14" ht="12" customHeight="1" x14ac:dyDescent="0.2">
      <c r="A63" s="203" t="s">
        <v>48</v>
      </c>
      <c r="B63" s="113">
        <v>111.1</v>
      </c>
      <c r="C63" s="113">
        <v>85.6</v>
      </c>
      <c r="D63" s="113">
        <v>98.8</v>
      </c>
      <c r="E63" s="114">
        <v>94.7</v>
      </c>
      <c r="F63" s="204">
        <v>102.1</v>
      </c>
      <c r="G63" s="63">
        <v>94.3</v>
      </c>
      <c r="H63" s="58">
        <v>103.8</v>
      </c>
      <c r="I63" s="64">
        <v>99.6</v>
      </c>
      <c r="J63" s="63">
        <v>99.5</v>
      </c>
      <c r="K63" s="205">
        <v>93.649870272682449</v>
      </c>
      <c r="L63" s="216">
        <v>93.261390710385797</v>
      </c>
      <c r="M63" s="205">
        <v>94.170663738833966</v>
      </c>
      <c r="N63" s="471">
        <v>93.670925676550155</v>
      </c>
    </row>
    <row r="64" spans="1:14" ht="12" customHeight="1" x14ac:dyDescent="0.2">
      <c r="A64" s="203" t="s">
        <v>49</v>
      </c>
      <c r="B64" s="113">
        <v>91.5</v>
      </c>
      <c r="C64" s="113">
        <v>93.1</v>
      </c>
      <c r="D64" s="113">
        <v>93.9</v>
      </c>
      <c r="E64" s="114">
        <v>97.6</v>
      </c>
      <c r="F64" s="204">
        <v>100.8</v>
      </c>
      <c r="G64" s="63">
        <v>102.7</v>
      </c>
      <c r="H64" s="58">
        <v>96.3</v>
      </c>
      <c r="I64" s="64">
        <v>97.7</v>
      </c>
      <c r="J64" s="63">
        <v>94.2</v>
      </c>
      <c r="K64" s="205">
        <v>94.913644295685273</v>
      </c>
      <c r="L64" s="63">
        <v>87.683053243935561</v>
      </c>
      <c r="M64" s="205">
        <v>88.953193621887664</v>
      </c>
      <c r="N64" s="471">
        <v>98.373371270122206</v>
      </c>
    </row>
    <row r="65" spans="1:14" ht="12" customHeight="1" x14ac:dyDescent="0.2">
      <c r="A65" s="203" t="s">
        <v>50</v>
      </c>
      <c r="B65" s="113">
        <v>92.5</v>
      </c>
      <c r="C65" s="113">
        <v>99.6</v>
      </c>
      <c r="D65" s="113">
        <v>98.2</v>
      </c>
      <c r="E65" s="114">
        <v>92.4</v>
      </c>
      <c r="F65" s="204">
        <v>95</v>
      </c>
      <c r="G65" s="63">
        <v>73.099999999999994</v>
      </c>
      <c r="H65" s="58">
        <v>88.9</v>
      </c>
      <c r="I65" s="64">
        <v>92.6</v>
      </c>
      <c r="J65" s="63">
        <v>92.9</v>
      </c>
      <c r="K65" s="205">
        <v>101.99338219669303</v>
      </c>
      <c r="L65" s="63">
        <v>89.281664279601955</v>
      </c>
      <c r="M65" s="205">
        <v>99.469676983439442</v>
      </c>
      <c r="N65" s="471">
        <v>95.085162593132409</v>
      </c>
    </row>
    <row r="66" spans="1:14" ht="12" customHeight="1" x14ac:dyDescent="0.2">
      <c r="A66" s="203" t="s">
        <v>51</v>
      </c>
      <c r="B66" s="113">
        <v>93.9</v>
      </c>
      <c r="C66" s="113">
        <v>92.7</v>
      </c>
      <c r="D66" s="113">
        <v>85.6</v>
      </c>
      <c r="E66" s="114">
        <v>82.9</v>
      </c>
      <c r="F66" s="204">
        <v>98.4</v>
      </c>
      <c r="G66" s="63">
        <v>94.1</v>
      </c>
      <c r="H66" s="58">
        <v>102.5</v>
      </c>
      <c r="I66" s="64">
        <v>105.2</v>
      </c>
      <c r="J66" s="63">
        <v>112.3</v>
      </c>
      <c r="K66" s="205">
        <v>100.27616488606633</v>
      </c>
      <c r="L66" s="63">
        <v>104.59388834047235</v>
      </c>
      <c r="M66" s="205">
        <v>91.287302703861471</v>
      </c>
      <c r="N66" s="471">
        <v>86.795832455779831</v>
      </c>
    </row>
    <row r="67" spans="1:14" ht="12" customHeight="1" x14ac:dyDescent="0.2">
      <c r="A67" s="203" t="s">
        <v>52</v>
      </c>
      <c r="B67" s="113">
        <v>85.6</v>
      </c>
      <c r="C67" s="113">
        <v>98.6</v>
      </c>
      <c r="D67" s="113">
        <v>95.5</v>
      </c>
      <c r="E67" s="114">
        <v>94</v>
      </c>
      <c r="F67" s="204">
        <v>85.5</v>
      </c>
      <c r="G67" s="63">
        <v>86.8</v>
      </c>
      <c r="H67" s="58">
        <v>86.2</v>
      </c>
      <c r="I67" s="64">
        <v>85</v>
      </c>
      <c r="J67" s="63">
        <v>80.2</v>
      </c>
      <c r="K67" s="205">
        <v>90.811601737979089</v>
      </c>
      <c r="L67" s="63">
        <v>85.700407677036537</v>
      </c>
      <c r="M67" s="205">
        <v>89.313289359370614</v>
      </c>
      <c r="N67" s="471">
        <v>90.729592120667547</v>
      </c>
    </row>
    <row r="68" spans="1:14" ht="12" customHeight="1" x14ac:dyDescent="0.2">
      <c r="A68" s="203" t="s">
        <v>53</v>
      </c>
      <c r="B68" s="113">
        <v>86.6</v>
      </c>
      <c r="C68" s="113">
        <v>99</v>
      </c>
      <c r="D68" s="113">
        <v>91.5</v>
      </c>
      <c r="E68" s="114">
        <v>109</v>
      </c>
      <c r="F68" s="204">
        <v>132.5</v>
      </c>
      <c r="G68" s="63">
        <v>114.2</v>
      </c>
      <c r="H68" s="58">
        <v>104.8</v>
      </c>
      <c r="I68" s="64">
        <v>81.099999999999994</v>
      </c>
      <c r="J68" s="63">
        <v>94</v>
      </c>
      <c r="K68" s="205">
        <v>87.201641051816765</v>
      </c>
      <c r="L68" s="63">
        <v>86.789602387413268</v>
      </c>
      <c r="M68" s="205">
        <v>91.462443193602994</v>
      </c>
      <c r="N68" s="471">
        <v>94.228084032335218</v>
      </c>
    </row>
    <row r="69" spans="1:14" ht="12" customHeight="1" x14ac:dyDescent="0.2">
      <c r="A69" s="203" t="s">
        <v>54</v>
      </c>
      <c r="B69" s="113">
        <v>91.3</v>
      </c>
      <c r="C69" s="113">
        <v>89.4</v>
      </c>
      <c r="D69" s="113">
        <v>89.2</v>
      </c>
      <c r="E69" s="114">
        <v>98.4</v>
      </c>
      <c r="F69" s="204">
        <v>97.1</v>
      </c>
      <c r="G69" s="63">
        <v>96.2</v>
      </c>
      <c r="H69" s="58">
        <v>93.9</v>
      </c>
      <c r="I69" s="64">
        <v>87.9</v>
      </c>
      <c r="J69" s="63">
        <v>87.7</v>
      </c>
      <c r="K69" s="205">
        <v>89.477690667075649</v>
      </c>
      <c r="L69" s="63">
        <v>93.018228124175394</v>
      </c>
      <c r="M69" s="205">
        <v>82.664689920929249</v>
      </c>
      <c r="N69" s="471">
        <v>83.749860716932844</v>
      </c>
    </row>
    <row r="70" spans="1:14" ht="18.75" x14ac:dyDescent="0.2">
      <c r="A70" s="196" t="s">
        <v>112</v>
      </c>
      <c r="B70" s="134">
        <v>90.2</v>
      </c>
      <c r="C70" s="134">
        <v>93.5</v>
      </c>
      <c r="D70" s="134">
        <v>93.4</v>
      </c>
      <c r="E70" s="197">
        <v>92</v>
      </c>
      <c r="F70" s="198">
        <v>93.9</v>
      </c>
      <c r="G70" s="199">
        <v>92.4</v>
      </c>
      <c r="H70" s="109">
        <v>95</v>
      </c>
      <c r="I70" s="111">
        <v>91</v>
      </c>
      <c r="J70" s="199">
        <v>87.2</v>
      </c>
      <c r="K70" s="201">
        <v>75.745425978239879</v>
      </c>
      <c r="L70" s="199">
        <v>86.816293251550604</v>
      </c>
      <c r="M70" s="201">
        <v>86.206346444193258</v>
      </c>
      <c r="N70" s="480">
        <v>88.798141081115446</v>
      </c>
    </row>
    <row r="71" spans="1:14" ht="12" customHeight="1" x14ac:dyDescent="0.2">
      <c r="A71" s="203" t="s">
        <v>55</v>
      </c>
      <c r="B71" s="113">
        <v>88.3</v>
      </c>
      <c r="C71" s="113">
        <v>102.4</v>
      </c>
      <c r="D71" s="113">
        <v>97.4</v>
      </c>
      <c r="E71" s="114">
        <v>101.3</v>
      </c>
      <c r="F71" s="204">
        <v>91.1</v>
      </c>
      <c r="G71" s="63">
        <v>88.6</v>
      </c>
      <c r="H71" s="58">
        <v>100</v>
      </c>
      <c r="I71" s="64">
        <v>88.5</v>
      </c>
      <c r="J71" s="63">
        <v>84.2</v>
      </c>
      <c r="K71" s="205">
        <v>92.690208408906969</v>
      </c>
      <c r="L71" s="63">
        <v>102.51308084961722</v>
      </c>
      <c r="M71" s="205">
        <v>91.713061245763654</v>
      </c>
      <c r="N71" s="471">
        <v>81.82578658397604</v>
      </c>
    </row>
    <row r="72" spans="1:14" ht="12" customHeight="1" x14ac:dyDescent="0.2">
      <c r="A72" s="203" t="s">
        <v>56</v>
      </c>
      <c r="B72" s="113">
        <v>86.6</v>
      </c>
      <c r="C72" s="113">
        <v>89.8</v>
      </c>
      <c r="D72" s="113">
        <v>89.3</v>
      </c>
      <c r="E72" s="114">
        <v>90.3</v>
      </c>
      <c r="F72" s="204">
        <v>95.3</v>
      </c>
      <c r="G72" s="63">
        <v>98.7</v>
      </c>
      <c r="H72" s="58">
        <v>89</v>
      </c>
      <c r="I72" s="64">
        <v>88.6</v>
      </c>
      <c r="J72" s="63">
        <v>84.8</v>
      </c>
      <c r="K72" s="205">
        <v>93.298540731409375</v>
      </c>
      <c r="L72" s="63">
        <v>84.061114851451208</v>
      </c>
      <c r="M72" s="205">
        <v>79.849488558139512</v>
      </c>
      <c r="N72" s="471">
        <v>84.024539716818595</v>
      </c>
    </row>
    <row r="73" spans="1:14" ht="12" customHeight="1" x14ac:dyDescent="0.2">
      <c r="A73" s="203" t="s">
        <v>57</v>
      </c>
      <c r="B73" s="113">
        <v>92.5</v>
      </c>
      <c r="C73" s="113">
        <v>92.9</v>
      </c>
      <c r="D73" s="113">
        <v>93.2</v>
      </c>
      <c r="E73" s="114">
        <v>91.5</v>
      </c>
      <c r="F73" s="204">
        <v>93.2</v>
      </c>
      <c r="G73" s="63">
        <v>90.4</v>
      </c>
      <c r="H73" s="58">
        <v>97.3</v>
      </c>
      <c r="I73" s="64">
        <v>91.6</v>
      </c>
      <c r="J73" s="217">
        <v>86.9</v>
      </c>
      <c r="K73" s="205">
        <v>71.17166903935545</v>
      </c>
      <c r="L73" s="63">
        <v>86.725153903114091</v>
      </c>
      <c r="M73" s="205">
        <v>87.57100178675293</v>
      </c>
      <c r="N73" s="471">
        <v>89.927052471159243</v>
      </c>
    </row>
    <row r="74" spans="1:14" ht="12" customHeight="1" x14ac:dyDescent="0.2">
      <c r="A74" s="119" t="s">
        <v>143</v>
      </c>
      <c r="B74" s="113"/>
      <c r="C74" s="113"/>
      <c r="D74" s="113"/>
      <c r="E74" s="114"/>
      <c r="F74" s="204"/>
      <c r="G74" s="63"/>
      <c r="H74" s="58"/>
      <c r="I74" s="64"/>
      <c r="J74" s="206"/>
      <c r="K74" s="207"/>
      <c r="L74" s="63"/>
      <c r="M74" s="205"/>
      <c r="N74" s="471"/>
    </row>
    <row r="75" spans="1:14" ht="18.95" customHeight="1" x14ac:dyDescent="0.2">
      <c r="A75" s="121" t="s">
        <v>85</v>
      </c>
      <c r="B75" s="113">
        <v>91.8</v>
      </c>
      <c r="C75" s="113">
        <v>91.8</v>
      </c>
      <c r="D75" s="113">
        <v>91.7</v>
      </c>
      <c r="E75" s="114">
        <v>88.3</v>
      </c>
      <c r="F75" s="204">
        <v>90.5</v>
      </c>
      <c r="G75" s="63">
        <v>89.4</v>
      </c>
      <c r="H75" s="58">
        <v>92.7</v>
      </c>
      <c r="I75" s="64">
        <v>94.3</v>
      </c>
      <c r="J75" s="63">
        <v>91.3</v>
      </c>
      <c r="K75" s="205">
        <v>93.554209451930731</v>
      </c>
      <c r="L75" s="63">
        <v>88.51091078416674</v>
      </c>
      <c r="M75" s="205">
        <v>87.305464243321595</v>
      </c>
      <c r="N75" s="471">
        <v>90.988889789737343</v>
      </c>
    </row>
    <row r="76" spans="1:14" ht="18.95" customHeight="1" x14ac:dyDescent="0.2">
      <c r="A76" s="121" t="s">
        <v>59</v>
      </c>
      <c r="B76" s="113">
        <v>100.3</v>
      </c>
      <c r="C76" s="113">
        <v>97.8</v>
      </c>
      <c r="D76" s="113">
        <v>100.6</v>
      </c>
      <c r="E76" s="114">
        <v>99.5</v>
      </c>
      <c r="F76" s="204">
        <v>103.9</v>
      </c>
      <c r="G76" s="63">
        <v>96.9</v>
      </c>
      <c r="H76" s="58">
        <v>112.8</v>
      </c>
      <c r="I76" s="64">
        <v>91.5</v>
      </c>
      <c r="J76" s="63">
        <v>78.400000000000006</v>
      </c>
      <c r="K76" s="205">
        <v>44.649292819068698</v>
      </c>
      <c r="L76" s="63">
        <v>84.306866076612337</v>
      </c>
      <c r="M76" s="205">
        <v>92.638325018460634</v>
      </c>
      <c r="N76" s="471">
        <v>91.431695284220794</v>
      </c>
    </row>
    <row r="77" spans="1:14" ht="18.95" customHeight="1" x14ac:dyDescent="0.2">
      <c r="A77" s="121" t="s">
        <v>83</v>
      </c>
      <c r="B77" s="113"/>
      <c r="C77" s="113"/>
      <c r="D77" s="113">
        <v>79.8</v>
      </c>
      <c r="E77" s="114">
        <v>82.9</v>
      </c>
      <c r="F77" s="204">
        <v>78.8</v>
      </c>
      <c r="G77" s="63">
        <v>83.9</v>
      </c>
      <c r="H77" s="58">
        <v>91.7</v>
      </c>
      <c r="I77" s="64">
        <v>87.1</v>
      </c>
      <c r="J77" s="63">
        <v>93</v>
      </c>
      <c r="K77" s="205">
        <v>90.878010106391955</v>
      </c>
      <c r="L77" s="63">
        <v>86.034209485407416</v>
      </c>
      <c r="M77" s="205">
        <v>84.87825987568398</v>
      </c>
      <c r="N77" s="471">
        <v>87.669123041927364</v>
      </c>
    </row>
    <row r="78" spans="1:14" ht="12" customHeight="1" x14ac:dyDescent="0.2">
      <c r="A78" s="203" t="s">
        <v>60</v>
      </c>
      <c r="B78" s="113">
        <v>80.400000000000006</v>
      </c>
      <c r="C78" s="113">
        <v>103.9</v>
      </c>
      <c r="D78" s="113">
        <v>102.5</v>
      </c>
      <c r="E78" s="114">
        <v>98.7</v>
      </c>
      <c r="F78" s="204">
        <v>98.1</v>
      </c>
      <c r="G78" s="63">
        <v>95.7</v>
      </c>
      <c r="H78" s="58">
        <v>89.5</v>
      </c>
      <c r="I78" s="64">
        <v>89.8</v>
      </c>
      <c r="J78" s="63">
        <v>94.2</v>
      </c>
      <c r="K78" s="205">
        <v>90.113774898246888</v>
      </c>
      <c r="L78" s="63">
        <v>87.584555510853193</v>
      </c>
      <c r="M78" s="205">
        <v>92.624202344808168</v>
      </c>
      <c r="N78" s="471">
        <v>96.007011573023775</v>
      </c>
    </row>
    <row r="79" spans="1:14" ht="18.75" x14ac:dyDescent="0.2">
      <c r="A79" s="196" t="s">
        <v>124</v>
      </c>
      <c r="B79" s="134">
        <v>91.2</v>
      </c>
      <c r="C79" s="134">
        <v>96.3</v>
      </c>
      <c r="D79" s="134">
        <v>95.4</v>
      </c>
      <c r="E79" s="197">
        <v>97.9</v>
      </c>
      <c r="F79" s="198">
        <v>100.4</v>
      </c>
      <c r="G79" s="199">
        <v>97.5</v>
      </c>
      <c r="H79" s="109">
        <v>96.1</v>
      </c>
      <c r="I79" s="111">
        <v>97.3</v>
      </c>
      <c r="J79" s="199">
        <v>94.4</v>
      </c>
      <c r="K79" s="201">
        <v>95</v>
      </c>
      <c r="L79" s="199">
        <v>96.2</v>
      </c>
      <c r="M79" s="201">
        <v>92.408799775366589</v>
      </c>
      <c r="N79" s="480">
        <v>93.51947632880858</v>
      </c>
    </row>
    <row r="80" spans="1:14" ht="12" customHeight="1" x14ac:dyDescent="0.2">
      <c r="A80" s="203" t="s">
        <v>61</v>
      </c>
      <c r="B80" s="113">
        <v>95</v>
      </c>
      <c r="C80" s="113">
        <v>93.9</v>
      </c>
      <c r="D80" s="113">
        <v>108.3</v>
      </c>
      <c r="E80" s="114">
        <v>135.9</v>
      </c>
      <c r="F80" s="204">
        <v>84</v>
      </c>
      <c r="G80" s="63">
        <v>96.2</v>
      </c>
      <c r="H80" s="58">
        <v>103.6</v>
      </c>
      <c r="I80" s="64">
        <v>94.8</v>
      </c>
      <c r="J80" s="63">
        <v>58.7</v>
      </c>
      <c r="K80" s="205">
        <v>104.46020267875966</v>
      </c>
      <c r="L80" s="63">
        <v>102.58825382867785</v>
      </c>
      <c r="M80" s="205">
        <v>93.123001180528249</v>
      </c>
      <c r="N80" s="471">
        <v>83.204250583977966</v>
      </c>
    </row>
    <row r="81" spans="1:20" ht="12" customHeight="1" x14ac:dyDescent="0.2">
      <c r="A81" s="203" t="s">
        <v>63</v>
      </c>
      <c r="B81" s="113">
        <v>88.2</v>
      </c>
      <c r="C81" s="113">
        <v>105.1</v>
      </c>
      <c r="D81" s="113">
        <v>123.4</v>
      </c>
      <c r="E81" s="114">
        <v>101.5</v>
      </c>
      <c r="F81" s="204">
        <v>144.30000000000001</v>
      </c>
      <c r="G81" s="63">
        <v>90.9</v>
      </c>
      <c r="H81" s="58">
        <v>101.3</v>
      </c>
      <c r="I81" s="64">
        <v>93.9</v>
      </c>
      <c r="J81" s="63">
        <v>96.2</v>
      </c>
      <c r="K81" s="205">
        <v>103.43955881799162</v>
      </c>
      <c r="L81" s="63">
        <v>101.89683532119332</v>
      </c>
      <c r="M81" s="205">
        <v>86.618720566205056</v>
      </c>
      <c r="N81" s="471">
        <v>98.874559180330209</v>
      </c>
    </row>
    <row r="82" spans="1:20" ht="12" customHeight="1" x14ac:dyDescent="0.2">
      <c r="A82" s="203" t="s">
        <v>64</v>
      </c>
      <c r="B82" s="113">
        <v>98.6</v>
      </c>
      <c r="C82" s="113">
        <v>98</v>
      </c>
      <c r="D82" s="113">
        <v>101</v>
      </c>
      <c r="E82" s="114">
        <v>98.6</v>
      </c>
      <c r="F82" s="204">
        <v>96.6</v>
      </c>
      <c r="G82" s="63">
        <v>95.6</v>
      </c>
      <c r="H82" s="58">
        <v>85.8</v>
      </c>
      <c r="I82" s="64">
        <v>81</v>
      </c>
      <c r="J82" s="63">
        <v>85.9</v>
      </c>
      <c r="K82" s="205">
        <v>79.168794428902686</v>
      </c>
      <c r="L82" s="63">
        <v>88.795467008163072</v>
      </c>
      <c r="M82" s="205">
        <v>90.803312903766695</v>
      </c>
      <c r="N82" s="471">
        <v>97.259937012867852</v>
      </c>
    </row>
    <row r="83" spans="1:20" ht="12" customHeight="1" x14ac:dyDescent="0.2">
      <c r="A83" s="203" t="s">
        <v>65</v>
      </c>
      <c r="B83" s="113">
        <v>84.5</v>
      </c>
      <c r="C83" s="113">
        <v>93.7</v>
      </c>
      <c r="D83" s="113">
        <v>94.9</v>
      </c>
      <c r="E83" s="114">
        <v>88.2</v>
      </c>
      <c r="F83" s="204">
        <v>93.3</v>
      </c>
      <c r="G83" s="63">
        <v>92.6</v>
      </c>
      <c r="H83" s="58">
        <v>83</v>
      </c>
      <c r="I83" s="64">
        <v>98.4</v>
      </c>
      <c r="J83" s="63">
        <v>90.6</v>
      </c>
      <c r="K83" s="205">
        <v>90.186637550715247</v>
      </c>
      <c r="L83" s="63">
        <v>93.655254955506578</v>
      </c>
      <c r="M83" s="205">
        <v>90.347994976877729</v>
      </c>
      <c r="N83" s="471">
        <v>99.077995241894584</v>
      </c>
    </row>
    <row r="84" spans="1:20" ht="12" customHeight="1" x14ac:dyDescent="0.2">
      <c r="A84" s="203" t="s">
        <v>67</v>
      </c>
      <c r="B84" s="113">
        <v>90.2</v>
      </c>
      <c r="C84" s="113">
        <v>96.3</v>
      </c>
      <c r="D84" s="113">
        <v>94.2</v>
      </c>
      <c r="E84" s="114">
        <v>95.3</v>
      </c>
      <c r="F84" s="204">
        <v>99.4</v>
      </c>
      <c r="G84" s="63">
        <v>105.2</v>
      </c>
      <c r="H84" s="58">
        <v>94.1</v>
      </c>
      <c r="I84" s="64">
        <v>96.4</v>
      </c>
      <c r="J84" s="63">
        <v>100.7</v>
      </c>
      <c r="K84" s="205">
        <v>101.62136438468687</v>
      </c>
      <c r="L84" s="63">
        <v>106.70662970528829</v>
      </c>
      <c r="M84" s="205">
        <v>105.50150960168487</v>
      </c>
      <c r="N84" s="471">
        <v>100.2991976150382</v>
      </c>
    </row>
    <row r="85" spans="1:20" ht="12" customHeight="1" x14ac:dyDescent="0.2">
      <c r="A85" s="203" t="s">
        <v>68</v>
      </c>
      <c r="B85" s="113">
        <v>86</v>
      </c>
      <c r="C85" s="113">
        <v>93.3</v>
      </c>
      <c r="D85" s="113">
        <v>84.3</v>
      </c>
      <c r="E85" s="114">
        <v>82.3</v>
      </c>
      <c r="F85" s="204">
        <v>91.4</v>
      </c>
      <c r="G85" s="63">
        <v>84</v>
      </c>
      <c r="H85" s="58">
        <v>86.7</v>
      </c>
      <c r="I85" s="64">
        <v>88.3</v>
      </c>
      <c r="J85" s="63">
        <v>82.3</v>
      </c>
      <c r="K85" s="205">
        <v>78.213799629884718</v>
      </c>
      <c r="L85" s="63">
        <v>85.966969112743087</v>
      </c>
      <c r="M85" s="205">
        <v>73.469731870046715</v>
      </c>
      <c r="N85" s="471">
        <v>91.334260490429244</v>
      </c>
    </row>
    <row r="86" spans="1:20" ht="12" customHeight="1" x14ac:dyDescent="0.2">
      <c r="A86" s="203" t="s">
        <v>156</v>
      </c>
      <c r="B86" s="113">
        <v>95.3</v>
      </c>
      <c r="C86" s="113">
        <v>96.2</v>
      </c>
      <c r="D86" s="113">
        <v>96.1</v>
      </c>
      <c r="E86" s="114">
        <v>97.7</v>
      </c>
      <c r="F86" s="204">
        <v>101.7</v>
      </c>
      <c r="G86" s="63">
        <v>82</v>
      </c>
      <c r="H86" s="58">
        <v>99.8</v>
      </c>
      <c r="I86" s="64">
        <v>96</v>
      </c>
      <c r="J86" s="63">
        <v>94.2</v>
      </c>
      <c r="K86" s="205">
        <v>92.049448708442966</v>
      </c>
      <c r="L86" s="63">
        <v>91.115924594015397</v>
      </c>
      <c r="M86" s="205">
        <v>92.59214834034016</v>
      </c>
      <c r="N86" s="471">
        <v>90.767326545211773</v>
      </c>
    </row>
    <row r="87" spans="1:20" ht="12" customHeight="1" x14ac:dyDescent="0.2">
      <c r="A87" s="203" t="s">
        <v>69</v>
      </c>
      <c r="B87" s="113">
        <v>89</v>
      </c>
      <c r="C87" s="113">
        <v>98</v>
      </c>
      <c r="D87" s="113">
        <v>91.5</v>
      </c>
      <c r="E87" s="114">
        <v>96.9</v>
      </c>
      <c r="F87" s="204">
        <v>95.3</v>
      </c>
      <c r="G87" s="63">
        <v>100.3</v>
      </c>
      <c r="H87" s="58">
        <v>92.6</v>
      </c>
      <c r="I87" s="64">
        <v>102.2</v>
      </c>
      <c r="J87" s="63">
        <v>88.6</v>
      </c>
      <c r="K87" s="205">
        <v>102.44568314930275</v>
      </c>
      <c r="L87" s="63">
        <v>95.345566778304658</v>
      </c>
      <c r="M87" s="205">
        <v>86.901529116794237</v>
      </c>
      <c r="N87" s="471">
        <v>79.257515439768994</v>
      </c>
    </row>
    <row r="88" spans="1:20" ht="12" customHeight="1" x14ac:dyDescent="0.2">
      <c r="A88" s="203" t="s">
        <v>70</v>
      </c>
      <c r="B88" s="113">
        <v>90.7</v>
      </c>
      <c r="C88" s="113">
        <v>91.1</v>
      </c>
      <c r="D88" s="113">
        <v>105.8</v>
      </c>
      <c r="E88" s="114">
        <v>120.8</v>
      </c>
      <c r="F88" s="204">
        <v>113.2</v>
      </c>
      <c r="G88" s="63">
        <v>127.1</v>
      </c>
      <c r="H88" s="58">
        <v>123.1</v>
      </c>
      <c r="I88" s="64">
        <v>100.3</v>
      </c>
      <c r="J88" s="63">
        <v>102.9</v>
      </c>
      <c r="K88" s="205">
        <v>101.06869571478987</v>
      </c>
      <c r="L88" s="63">
        <v>91.38397802988753</v>
      </c>
      <c r="M88" s="205">
        <v>89.897849529176</v>
      </c>
      <c r="N88" s="471">
        <v>91.316798243509353</v>
      </c>
    </row>
    <row r="89" spans="1:20" ht="12" customHeight="1" x14ac:dyDescent="0.2">
      <c r="A89" s="203" t="s">
        <v>71</v>
      </c>
      <c r="B89" s="113">
        <v>94.6</v>
      </c>
      <c r="C89" s="113">
        <v>100.7</v>
      </c>
      <c r="D89" s="113">
        <v>102</v>
      </c>
      <c r="E89" s="114">
        <v>105.8</v>
      </c>
      <c r="F89" s="204">
        <v>102.6</v>
      </c>
      <c r="G89" s="63">
        <v>107.9</v>
      </c>
      <c r="H89" s="58">
        <v>99.9</v>
      </c>
      <c r="I89" s="64">
        <v>125.2</v>
      </c>
      <c r="J89" s="63">
        <v>111.1</v>
      </c>
      <c r="K89" s="205">
        <v>105.81388554129698</v>
      </c>
      <c r="L89" s="63">
        <v>107.40449610221722</v>
      </c>
      <c r="M89" s="205">
        <v>105.02579274643773</v>
      </c>
      <c r="N89" s="471">
        <v>94.141173576608821</v>
      </c>
    </row>
    <row r="90" spans="1:20" ht="18.75" x14ac:dyDescent="0.2">
      <c r="A90" s="196" t="s">
        <v>125</v>
      </c>
      <c r="B90" s="134">
        <v>90.5</v>
      </c>
      <c r="C90" s="134">
        <v>93.5</v>
      </c>
      <c r="D90" s="134">
        <v>99.1</v>
      </c>
      <c r="E90" s="197">
        <v>101.1</v>
      </c>
      <c r="F90" s="198">
        <v>102</v>
      </c>
      <c r="G90" s="199">
        <v>106.2</v>
      </c>
      <c r="H90" s="109">
        <v>104.3</v>
      </c>
      <c r="I90" s="111">
        <v>100.5</v>
      </c>
      <c r="J90" s="199">
        <v>107.5</v>
      </c>
      <c r="K90" s="218">
        <v>95.7</v>
      </c>
      <c r="L90" s="199">
        <v>91.7</v>
      </c>
      <c r="M90" s="201">
        <v>85.468656809497105</v>
      </c>
      <c r="N90" s="480">
        <v>87.766627369133232</v>
      </c>
    </row>
    <row r="91" spans="1:20" ht="12" customHeight="1" x14ac:dyDescent="0.2">
      <c r="A91" s="203" t="s">
        <v>62</v>
      </c>
      <c r="B91" s="113">
        <v>83.6</v>
      </c>
      <c r="C91" s="113">
        <v>94.1</v>
      </c>
      <c r="D91" s="113">
        <v>94.5</v>
      </c>
      <c r="E91" s="114">
        <v>93.1</v>
      </c>
      <c r="F91" s="204">
        <v>101.5</v>
      </c>
      <c r="G91" s="63">
        <v>91.9</v>
      </c>
      <c r="H91" s="58">
        <v>96.7</v>
      </c>
      <c r="I91" s="64">
        <v>82.9</v>
      </c>
      <c r="J91" s="63">
        <v>102.6</v>
      </c>
      <c r="K91" s="219">
        <v>103.9387375628106</v>
      </c>
      <c r="L91" s="63">
        <v>82.345562859344668</v>
      </c>
      <c r="M91" s="205">
        <v>77.104639172806245</v>
      </c>
      <c r="N91" s="471">
        <v>95.674059946569088</v>
      </c>
    </row>
    <row r="92" spans="1:20" ht="12" customHeight="1" x14ac:dyDescent="0.2">
      <c r="A92" s="203" t="s">
        <v>72</v>
      </c>
      <c r="B92" s="113">
        <v>93.2</v>
      </c>
      <c r="C92" s="113">
        <v>99.5</v>
      </c>
      <c r="D92" s="113">
        <v>100.4</v>
      </c>
      <c r="E92" s="114">
        <v>101.5</v>
      </c>
      <c r="F92" s="204">
        <v>95.6</v>
      </c>
      <c r="G92" s="63">
        <v>88.6</v>
      </c>
      <c r="H92" s="58">
        <v>95.7</v>
      </c>
      <c r="I92" s="64">
        <v>102.3</v>
      </c>
      <c r="J92" s="63">
        <v>100.7</v>
      </c>
      <c r="K92" s="205">
        <v>93.782938964274351</v>
      </c>
      <c r="L92" s="63">
        <v>89.482176979418469</v>
      </c>
      <c r="M92" s="205">
        <v>100.60567248381057</v>
      </c>
      <c r="N92" s="471">
        <v>88.518055449047267</v>
      </c>
    </row>
    <row r="93" spans="1:20" ht="12" customHeight="1" x14ac:dyDescent="0.2">
      <c r="A93" s="203" t="s">
        <v>91</v>
      </c>
      <c r="B93" s="113">
        <v>109.2</v>
      </c>
      <c r="C93" s="113">
        <v>120.9</v>
      </c>
      <c r="D93" s="113">
        <v>94.3</v>
      </c>
      <c r="E93" s="114">
        <v>94.4</v>
      </c>
      <c r="F93" s="204">
        <v>115.2</v>
      </c>
      <c r="G93" s="63">
        <v>99.8</v>
      </c>
      <c r="H93" s="58">
        <v>116.7</v>
      </c>
      <c r="I93" s="64">
        <v>90.1</v>
      </c>
      <c r="J93" s="63">
        <v>82</v>
      </c>
      <c r="K93" s="205">
        <v>100.46258393814827</v>
      </c>
      <c r="L93" s="63">
        <v>110.70162281086509</v>
      </c>
      <c r="M93" s="205">
        <v>111.65711340361429</v>
      </c>
      <c r="N93" s="471">
        <v>106.56191113432702</v>
      </c>
    </row>
    <row r="94" spans="1:20" ht="12" customHeight="1" x14ac:dyDescent="0.2">
      <c r="A94" s="203" t="s">
        <v>73</v>
      </c>
      <c r="B94" s="113">
        <v>103.8</v>
      </c>
      <c r="C94" s="113">
        <v>113.4</v>
      </c>
      <c r="D94" s="113">
        <v>121.1</v>
      </c>
      <c r="E94" s="114">
        <v>113.2</v>
      </c>
      <c r="F94" s="204">
        <v>115.1</v>
      </c>
      <c r="G94" s="63">
        <v>132.1</v>
      </c>
      <c r="H94" s="58">
        <v>110</v>
      </c>
      <c r="I94" s="64">
        <v>57.6</v>
      </c>
      <c r="J94" s="63">
        <v>70.8</v>
      </c>
      <c r="K94" s="205">
        <v>79.62174802043647</v>
      </c>
      <c r="L94" s="63">
        <v>83.611405410255742</v>
      </c>
      <c r="M94" s="205">
        <v>101.73910551030762</v>
      </c>
      <c r="N94" s="471">
        <v>69.29335079970312</v>
      </c>
    </row>
    <row r="95" spans="1:20" ht="12" customHeight="1" x14ac:dyDescent="0.2">
      <c r="A95" s="203" t="s">
        <v>74</v>
      </c>
      <c r="B95" s="113">
        <v>92</v>
      </c>
      <c r="C95" s="113">
        <v>89.4</v>
      </c>
      <c r="D95" s="113">
        <v>96.7</v>
      </c>
      <c r="E95" s="114">
        <v>102.8</v>
      </c>
      <c r="F95" s="204">
        <v>97.9</v>
      </c>
      <c r="G95" s="63">
        <v>103.9</v>
      </c>
      <c r="H95" s="58">
        <v>98.9</v>
      </c>
      <c r="I95" s="64">
        <v>109.7</v>
      </c>
      <c r="J95" s="63">
        <v>100.4</v>
      </c>
      <c r="K95" s="205">
        <v>83.028726181239691</v>
      </c>
      <c r="L95" s="63">
        <v>99.208033374463781</v>
      </c>
      <c r="M95" s="205">
        <v>92.812805085945698</v>
      </c>
      <c r="N95" s="471">
        <v>99.457759137958249</v>
      </c>
      <c r="O95" s="1"/>
      <c r="P95" s="1"/>
      <c r="Q95" s="1"/>
      <c r="R95" s="1"/>
      <c r="S95" s="1"/>
      <c r="T95" s="10"/>
    </row>
    <row r="96" spans="1:20" ht="12" customHeight="1" x14ac:dyDescent="0.2">
      <c r="A96" s="203" t="s">
        <v>75</v>
      </c>
      <c r="B96" s="113">
        <v>83</v>
      </c>
      <c r="C96" s="113">
        <v>97.3</v>
      </c>
      <c r="D96" s="113">
        <v>100.1</v>
      </c>
      <c r="E96" s="114">
        <v>108.1</v>
      </c>
      <c r="F96" s="204">
        <v>99.8</v>
      </c>
      <c r="G96" s="63">
        <v>118.7</v>
      </c>
      <c r="H96" s="58">
        <v>101</v>
      </c>
      <c r="I96" s="64">
        <v>104</v>
      </c>
      <c r="J96" s="63">
        <v>103.3</v>
      </c>
      <c r="K96" s="205">
        <v>100.91253792740093</v>
      </c>
      <c r="L96" s="63">
        <v>106.05469646155569</v>
      </c>
      <c r="M96" s="205">
        <v>96.75875944487936</v>
      </c>
      <c r="N96" s="471">
        <v>86.903855511329269</v>
      </c>
    </row>
    <row r="97" spans="1:14" ht="12" customHeight="1" x14ac:dyDescent="0.2">
      <c r="A97" s="203" t="s">
        <v>76</v>
      </c>
      <c r="B97" s="113">
        <v>96.6</v>
      </c>
      <c r="C97" s="113">
        <v>91.6</v>
      </c>
      <c r="D97" s="113">
        <v>98.5</v>
      </c>
      <c r="E97" s="114">
        <v>99.9</v>
      </c>
      <c r="F97" s="204">
        <v>104.7</v>
      </c>
      <c r="G97" s="63">
        <v>98.4</v>
      </c>
      <c r="H97" s="58">
        <v>100.7</v>
      </c>
      <c r="I97" s="64">
        <v>117.7</v>
      </c>
      <c r="J97" s="63">
        <v>134</v>
      </c>
      <c r="K97" s="205">
        <v>109.7726702867671</v>
      </c>
      <c r="L97" s="63">
        <v>88.818989382183503</v>
      </c>
      <c r="M97" s="205">
        <v>67.019446755232238</v>
      </c>
      <c r="N97" s="471">
        <v>70.704803177790666</v>
      </c>
    </row>
    <row r="98" spans="1:14" ht="12" customHeight="1" x14ac:dyDescent="0.2">
      <c r="A98" s="203" t="s">
        <v>77</v>
      </c>
      <c r="B98" s="113">
        <v>126.2</v>
      </c>
      <c r="C98" s="113">
        <v>93.1</v>
      </c>
      <c r="D98" s="113">
        <v>97.3</v>
      </c>
      <c r="E98" s="114">
        <v>123</v>
      </c>
      <c r="F98" s="204">
        <v>113.8</v>
      </c>
      <c r="G98" s="63">
        <v>99.6</v>
      </c>
      <c r="H98" s="58">
        <v>119.6</v>
      </c>
      <c r="I98" s="64">
        <v>96.6</v>
      </c>
      <c r="J98" s="63">
        <v>107.8</v>
      </c>
      <c r="K98" s="205">
        <v>84.216776523260663</v>
      </c>
      <c r="L98" s="63">
        <v>102.0134224105695</v>
      </c>
      <c r="M98" s="205">
        <v>107.25479383833874</v>
      </c>
      <c r="N98" s="471">
        <v>159.11360874765234</v>
      </c>
    </row>
    <row r="99" spans="1:14" ht="12" customHeight="1" x14ac:dyDescent="0.2">
      <c r="A99" s="203" t="s">
        <v>78</v>
      </c>
      <c r="B99" s="114">
        <v>86.5</v>
      </c>
      <c r="C99" s="113">
        <v>85.3</v>
      </c>
      <c r="D99" s="113">
        <v>98.2</v>
      </c>
      <c r="E99" s="114">
        <v>84.2</v>
      </c>
      <c r="F99" s="204">
        <v>105.9</v>
      </c>
      <c r="G99" s="63">
        <v>109.7</v>
      </c>
      <c r="H99" s="58">
        <v>112.9</v>
      </c>
      <c r="I99" s="64">
        <v>103.6</v>
      </c>
      <c r="J99" s="63">
        <v>114.5</v>
      </c>
      <c r="K99" s="205">
        <v>84.835734661695668</v>
      </c>
      <c r="L99" s="63">
        <v>85.508616178489802</v>
      </c>
      <c r="M99" s="205">
        <v>91.280812523314481</v>
      </c>
      <c r="N99" s="471">
        <v>83.387154189945974</v>
      </c>
    </row>
    <row r="100" spans="1:14" ht="12" customHeight="1" x14ac:dyDescent="0.2">
      <c r="A100" s="203" t="s">
        <v>79</v>
      </c>
      <c r="B100" s="114">
        <v>107</v>
      </c>
      <c r="C100" s="113">
        <v>98.2</v>
      </c>
      <c r="D100" s="113">
        <v>70.7</v>
      </c>
      <c r="E100" s="114">
        <v>87.1</v>
      </c>
      <c r="F100" s="204">
        <v>109.2</v>
      </c>
      <c r="G100" s="63">
        <v>129.69999999999999</v>
      </c>
      <c r="H100" s="58">
        <v>170.2</v>
      </c>
      <c r="I100" s="64">
        <v>85.6</v>
      </c>
      <c r="J100" s="63">
        <v>140.9</v>
      </c>
      <c r="K100" s="205">
        <v>99.866774638557132</v>
      </c>
      <c r="L100" s="63">
        <v>121.48640421184028</v>
      </c>
      <c r="M100" s="205">
        <v>72.916538343085932</v>
      </c>
      <c r="N100" s="471">
        <v>88.780403846843924</v>
      </c>
    </row>
    <row r="101" spans="1:14" ht="12" customHeight="1" x14ac:dyDescent="0.2">
      <c r="A101" s="178" t="s">
        <v>80</v>
      </c>
      <c r="B101" s="132">
        <v>107.8</v>
      </c>
      <c r="C101" s="179">
        <v>122.9</v>
      </c>
      <c r="D101" s="179">
        <v>108.1</v>
      </c>
      <c r="E101" s="179">
        <v>132.80000000000001</v>
      </c>
      <c r="F101" s="220">
        <v>108.4</v>
      </c>
      <c r="G101" s="179">
        <v>71.8</v>
      </c>
      <c r="H101" s="132">
        <v>92.2</v>
      </c>
      <c r="I101" s="130">
        <v>145.6</v>
      </c>
      <c r="J101" s="179">
        <v>110.7</v>
      </c>
      <c r="K101" s="130">
        <v>104.64242111705151</v>
      </c>
      <c r="L101" s="179">
        <v>81.663106187771433</v>
      </c>
      <c r="M101" s="205">
        <v>120.11521463891644</v>
      </c>
      <c r="N101" s="481">
        <v>71.045442170058422</v>
      </c>
    </row>
    <row r="102" spans="1:14" ht="22.5" customHeight="1" x14ac:dyDescent="0.25">
      <c r="A102" s="498" t="s">
        <v>126</v>
      </c>
      <c r="B102" s="498"/>
      <c r="C102" s="498"/>
      <c r="D102" s="498"/>
      <c r="E102" s="498"/>
      <c r="F102" s="498"/>
      <c r="G102" s="498"/>
      <c r="H102" s="498"/>
      <c r="I102" s="498"/>
      <c r="J102" s="498"/>
      <c r="K102" s="498"/>
      <c r="L102" s="498"/>
      <c r="M102" s="499"/>
      <c r="N102" s="499"/>
    </row>
  </sheetData>
  <mergeCells count="3">
    <mergeCell ref="A102:N102"/>
    <mergeCell ref="A1:N1"/>
    <mergeCell ref="A2:N2"/>
  </mergeCells>
  <pageMargins left="0.74803149606299213" right="0.23622047244094491" top="0.74803149606299213" bottom="0.74803149606299213" header="0.31496062992125984" footer="0.31496062992125984"/>
  <pageSetup paperSize="9" scale="90" orientation="landscape" r:id="rId1"/>
  <headerFooter differentOddEven="1" differentFirst="1">
    <oddHeader>&amp;C&amp;7СТРОИТЕЛЬНЫЕ ОРГАНИЗАЦИИ&amp;R&amp;6&amp;UПродолжение таблицы 2.3</oddHeader>
    <oddFooter>&amp;L&amp;P&amp;C&amp;8СТРОИТЕЛЬСТВО В РОССИИ. 2022&amp;R&amp;G</oddFooter>
    <evenHeader>&amp;C&amp;7СТРОИТЕЛЬНЫЕ ОРГАНИЗАЦИИ&amp;R&amp;"Arial,обычный"&amp;6&amp;UПродолжение таблицы 2.3</evenHeader>
    <evenFooter>&amp;L&amp;G&amp;C&amp;8СТРОИТЕЛЬСТВО В РОССИИ. 2022&amp;R&amp;P</evenFooter>
    <firstHeader>&amp;C&amp;7СТРОИТЕЛЬНЫЕ ОРГАНИЗАЦИИ</firstHeader>
    <firstFooter>&amp;L&amp;P&amp;C&amp;8СТРОИТЕЛЬСТВО В РОССИИ. 2022&amp;R&amp;G</firstFooter>
  </headerFooter>
  <rowBreaks count="2" manualBreakCount="2">
    <brk id="37" max="16383" man="1"/>
    <brk id="69" max="16383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4"/>
  <sheetViews>
    <sheetView topLeftCell="B88" zoomScaleNormal="100" workbookViewId="0">
      <selection activeCell="B104" sqref="B104:N104"/>
    </sheetView>
  </sheetViews>
  <sheetFormatPr defaultColWidth="9.140625" defaultRowHeight="15" x14ac:dyDescent="0.25"/>
  <cols>
    <col min="1" max="1" width="32.7109375" style="3" customWidth="1"/>
    <col min="2" max="2" width="10.42578125" style="3" customWidth="1"/>
    <col min="3" max="3" width="7.85546875" style="3" customWidth="1"/>
    <col min="4" max="4" width="8" style="3" customWidth="1"/>
    <col min="5" max="5" width="8.140625" style="3" customWidth="1"/>
    <col min="6" max="7" width="8" style="3" customWidth="1"/>
    <col min="8" max="8" width="8.140625" style="3" customWidth="1"/>
    <col min="9" max="9" width="8" style="3" customWidth="1"/>
    <col min="10" max="10" width="8.28515625" style="3" customWidth="1"/>
    <col min="11" max="11" width="8.5703125" style="3" customWidth="1"/>
    <col min="12" max="49" width="8.7109375" style="3" customWidth="1"/>
    <col min="50" max="16384" width="9.140625" style="3"/>
  </cols>
  <sheetData>
    <row r="1" spans="1:54" ht="15" customHeight="1" x14ac:dyDescent="0.25">
      <c r="B1" s="500" t="s">
        <v>134</v>
      </c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20"/>
      <c r="N1" s="520"/>
      <c r="O1" s="12"/>
      <c r="P1" s="12"/>
      <c r="Q1" s="12"/>
      <c r="R1" s="12"/>
      <c r="S1" s="12"/>
      <c r="T1" s="12"/>
      <c r="U1" s="12"/>
      <c r="V1" s="12"/>
      <c r="W1" s="12"/>
      <c r="X1" s="476"/>
      <c r="Y1" s="476"/>
      <c r="Z1" s="476"/>
      <c r="AA1" s="47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54" ht="15" customHeight="1" x14ac:dyDescent="0.25">
      <c r="B2" s="502" t="s">
        <v>94</v>
      </c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21"/>
      <c r="N2" s="521"/>
      <c r="O2" s="5"/>
      <c r="P2" s="5"/>
      <c r="Q2" s="5"/>
      <c r="R2" s="5"/>
      <c r="S2" s="5"/>
      <c r="T2" s="5"/>
      <c r="U2" s="5"/>
      <c r="V2" s="5"/>
      <c r="W2" s="5"/>
      <c r="X2" s="477"/>
      <c r="Y2" s="477"/>
      <c r="Z2" s="477"/>
      <c r="AA2" s="477"/>
      <c r="AB2" s="5"/>
      <c r="AC2" s="5"/>
      <c r="AD2" s="5"/>
      <c r="AE2" s="5"/>
      <c r="AF2" s="5"/>
      <c r="AG2" s="5"/>
      <c r="AH2" s="5"/>
      <c r="AI2" s="5"/>
      <c r="AJ2" s="5"/>
      <c r="AK2" s="6"/>
      <c r="AL2" s="6"/>
      <c r="AM2" s="6"/>
      <c r="AN2" s="6"/>
      <c r="AO2" s="6"/>
      <c r="AP2" s="6"/>
      <c r="AQ2" s="6"/>
      <c r="AR2" s="6"/>
    </row>
    <row r="3" spans="1:54" s="25" customFormat="1" ht="15" customHeight="1" x14ac:dyDescent="0.25">
      <c r="A3" s="424"/>
      <c r="B3" s="507" t="s">
        <v>95</v>
      </c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18"/>
      <c r="N3" s="519"/>
      <c r="O3" s="507" t="s">
        <v>96</v>
      </c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18"/>
      <c r="AA3" s="519"/>
      <c r="AB3" s="507" t="s">
        <v>127</v>
      </c>
      <c r="AC3" s="508"/>
      <c r="AD3" s="508"/>
      <c r="AE3" s="508"/>
      <c r="AF3" s="508"/>
      <c r="AG3" s="508"/>
      <c r="AH3" s="508"/>
      <c r="AI3" s="508"/>
      <c r="AJ3" s="508"/>
      <c r="AK3" s="508"/>
      <c r="AL3" s="508"/>
      <c r="AM3" s="518"/>
      <c r="AN3" s="519"/>
      <c r="AO3" s="507" t="s">
        <v>97</v>
      </c>
      <c r="AP3" s="508"/>
      <c r="AQ3" s="508"/>
      <c r="AR3" s="508"/>
      <c r="AS3" s="508"/>
      <c r="AT3" s="508"/>
      <c r="AU3" s="508"/>
      <c r="AV3" s="508"/>
      <c r="AW3" s="508"/>
      <c r="AX3" s="508"/>
      <c r="AY3" s="508"/>
      <c r="AZ3" s="522"/>
      <c r="BA3" s="523"/>
      <c r="BB3" s="490"/>
    </row>
    <row r="4" spans="1:54" s="43" customFormat="1" ht="15" customHeight="1" x14ac:dyDescent="0.25">
      <c r="A4" s="425"/>
      <c r="B4" s="38">
        <v>2005</v>
      </c>
      <c r="C4" s="433">
        <v>2010</v>
      </c>
      <c r="D4" s="433">
        <v>2011</v>
      </c>
      <c r="E4" s="433">
        <v>2012</v>
      </c>
      <c r="F4" s="38">
        <v>2013</v>
      </c>
      <c r="G4" s="38">
        <v>2014</v>
      </c>
      <c r="H4" s="38">
        <v>2015</v>
      </c>
      <c r="I4" s="38">
        <v>2016</v>
      </c>
      <c r="J4" s="38">
        <v>2017</v>
      </c>
      <c r="K4" s="38">
        <v>2018</v>
      </c>
      <c r="L4" s="38">
        <v>2019</v>
      </c>
      <c r="M4" s="38">
        <v>2020</v>
      </c>
      <c r="N4" s="38">
        <v>2021</v>
      </c>
      <c r="O4" s="38">
        <v>2005</v>
      </c>
      <c r="P4" s="38">
        <v>2010</v>
      </c>
      <c r="Q4" s="38">
        <v>2011</v>
      </c>
      <c r="R4" s="38">
        <v>2012</v>
      </c>
      <c r="S4" s="38">
        <v>2013</v>
      </c>
      <c r="T4" s="42">
        <v>2014</v>
      </c>
      <c r="U4" s="42">
        <v>2015</v>
      </c>
      <c r="V4" s="42">
        <v>2016</v>
      </c>
      <c r="W4" s="38">
        <v>2017</v>
      </c>
      <c r="X4" s="38">
        <v>2018</v>
      </c>
      <c r="Y4" s="38">
        <v>2019</v>
      </c>
      <c r="Z4" s="38">
        <v>2020</v>
      </c>
      <c r="AA4" s="38">
        <v>2021</v>
      </c>
      <c r="AB4" s="38">
        <v>2005</v>
      </c>
      <c r="AC4" s="38">
        <v>2010</v>
      </c>
      <c r="AD4" s="38">
        <v>2011</v>
      </c>
      <c r="AE4" s="38">
        <v>2012</v>
      </c>
      <c r="AF4" s="38">
        <v>2013</v>
      </c>
      <c r="AG4" s="42">
        <v>2014</v>
      </c>
      <c r="AH4" s="42">
        <v>2015</v>
      </c>
      <c r="AI4" s="42">
        <v>2016</v>
      </c>
      <c r="AJ4" s="42">
        <v>2017</v>
      </c>
      <c r="AK4" s="38">
        <v>2018</v>
      </c>
      <c r="AL4" s="38">
        <v>2019</v>
      </c>
      <c r="AM4" s="433">
        <v>2020</v>
      </c>
      <c r="AN4" s="38">
        <v>2021</v>
      </c>
      <c r="AO4" s="38">
        <v>2005</v>
      </c>
      <c r="AP4" s="41">
        <v>2010</v>
      </c>
      <c r="AQ4" s="433">
        <v>2011</v>
      </c>
      <c r="AR4" s="42">
        <v>2012</v>
      </c>
      <c r="AS4" s="42">
        <v>2013</v>
      </c>
      <c r="AT4" s="42">
        <v>2014</v>
      </c>
      <c r="AU4" s="433">
        <v>2015</v>
      </c>
      <c r="AV4" s="42">
        <v>2016</v>
      </c>
      <c r="AW4" s="42">
        <v>2017</v>
      </c>
      <c r="AX4" s="42">
        <v>2018</v>
      </c>
      <c r="AY4" s="42">
        <v>2019</v>
      </c>
      <c r="AZ4" s="42">
        <v>2020</v>
      </c>
      <c r="BA4" s="38">
        <v>2021</v>
      </c>
      <c r="BB4" s="491"/>
    </row>
    <row r="5" spans="1:54" x14ac:dyDescent="0.25">
      <c r="A5" s="426" t="s">
        <v>1</v>
      </c>
      <c r="B5" s="434">
        <v>57.4</v>
      </c>
      <c r="C5" s="448">
        <v>56.3</v>
      </c>
      <c r="D5" s="49">
        <v>57.4</v>
      </c>
      <c r="E5" s="109">
        <v>55.2</v>
      </c>
      <c r="F5" s="251">
        <v>56.1</v>
      </c>
      <c r="G5" s="251">
        <v>58.3</v>
      </c>
      <c r="H5" s="251">
        <v>60</v>
      </c>
      <c r="I5" s="109">
        <v>56.2</v>
      </c>
      <c r="J5" s="49">
        <v>57.8</v>
      </c>
      <c r="K5" s="221">
        <v>57.4</v>
      </c>
      <c r="L5" s="49">
        <v>54.019195472199669</v>
      </c>
      <c r="M5" s="414">
        <v>55.410684850367666</v>
      </c>
      <c r="N5" s="482">
        <v>54.6</v>
      </c>
      <c r="O5" s="133">
        <v>21.1</v>
      </c>
      <c r="P5" s="449">
        <v>20.2</v>
      </c>
      <c r="Q5" s="449">
        <v>19.100000000000001</v>
      </c>
      <c r="R5" s="449">
        <v>18.8</v>
      </c>
      <c r="S5" s="449">
        <v>18.899999999999999</v>
      </c>
      <c r="T5" s="449">
        <v>20.100000000000001</v>
      </c>
      <c r="U5" s="449">
        <v>18.2</v>
      </c>
      <c r="V5" s="449">
        <v>18.100000000000001</v>
      </c>
      <c r="W5" s="450">
        <v>19.2</v>
      </c>
      <c r="X5" s="109">
        <v>19.399999999999999</v>
      </c>
      <c r="Y5" s="49">
        <v>22.192050741128064</v>
      </c>
      <c r="Z5" s="109">
        <v>19.988443473354216</v>
      </c>
      <c r="AA5" s="482">
        <v>20.071976703139558</v>
      </c>
      <c r="AB5" s="434">
        <v>5</v>
      </c>
      <c r="AC5" s="449">
        <v>4.2</v>
      </c>
      <c r="AD5" s="449">
        <v>5</v>
      </c>
      <c r="AE5" s="449">
        <v>4.8</v>
      </c>
      <c r="AF5" s="449">
        <v>4.8</v>
      </c>
      <c r="AG5" s="449">
        <v>5.2</v>
      </c>
      <c r="AH5" s="449">
        <v>4.9000000000000004</v>
      </c>
      <c r="AI5" s="449">
        <v>4.7</v>
      </c>
      <c r="AJ5" s="48">
        <v>5</v>
      </c>
      <c r="AK5" s="51">
        <v>5</v>
      </c>
      <c r="AL5" s="51">
        <v>5.2</v>
      </c>
      <c r="AM5" s="51">
        <v>5.1233312350295455</v>
      </c>
      <c r="AN5" s="489">
        <v>5</v>
      </c>
      <c r="AO5" s="251">
        <v>2.4</v>
      </c>
      <c r="AP5" s="435">
        <v>2.9</v>
      </c>
      <c r="AQ5" s="109">
        <v>2.6</v>
      </c>
      <c r="AR5" s="436">
        <v>2.8</v>
      </c>
      <c r="AS5" s="50">
        <v>2.8</v>
      </c>
      <c r="AT5" s="449">
        <v>3.1</v>
      </c>
      <c r="AU5" s="448">
        <v>2.9</v>
      </c>
      <c r="AV5" s="49">
        <v>2.8</v>
      </c>
      <c r="AW5" s="49">
        <v>2.8</v>
      </c>
      <c r="AX5" s="109">
        <v>2.6708546130876409</v>
      </c>
      <c r="AY5" s="49">
        <v>2.6712048631711269</v>
      </c>
      <c r="AZ5" s="109">
        <v>2.7548562810250501</v>
      </c>
      <c r="BA5" s="482">
        <v>2.9</v>
      </c>
      <c r="BB5" s="492"/>
    </row>
    <row r="6" spans="1:54" s="25" customFormat="1" ht="22.5" customHeight="1" x14ac:dyDescent="0.25">
      <c r="A6" s="427" t="s">
        <v>155</v>
      </c>
      <c r="B6" s="434">
        <v>54.4</v>
      </c>
      <c r="C6" s="448">
        <v>52.5</v>
      </c>
      <c r="D6" s="251">
        <v>53.1</v>
      </c>
      <c r="E6" s="109">
        <v>50</v>
      </c>
      <c r="F6" s="251">
        <v>52.6</v>
      </c>
      <c r="G6" s="251">
        <v>56.3</v>
      </c>
      <c r="H6" s="251">
        <v>61.2</v>
      </c>
      <c r="I6" s="109">
        <v>57.2</v>
      </c>
      <c r="J6" s="251">
        <v>54.7</v>
      </c>
      <c r="K6" s="109">
        <v>55.065145882693344</v>
      </c>
      <c r="L6" s="251">
        <v>49.935399250049983</v>
      </c>
      <c r="M6" s="414">
        <v>53.990882658441841</v>
      </c>
      <c r="N6" s="483">
        <v>54.094365044201986</v>
      </c>
      <c r="O6" s="434">
        <v>20.9</v>
      </c>
      <c r="P6" s="449">
        <v>20.3</v>
      </c>
      <c r="Q6" s="449">
        <v>19.100000000000001</v>
      </c>
      <c r="R6" s="449">
        <v>18.600000000000001</v>
      </c>
      <c r="S6" s="449">
        <v>19.399999999999999</v>
      </c>
      <c r="T6" s="449">
        <v>21.4</v>
      </c>
      <c r="U6" s="449">
        <v>16.5</v>
      </c>
      <c r="V6" s="449">
        <v>16.100000000000001</v>
      </c>
      <c r="W6" s="450">
        <v>18.7</v>
      </c>
      <c r="X6" s="109">
        <v>18.5</v>
      </c>
      <c r="Y6" s="415">
        <v>23.469654332246574</v>
      </c>
      <c r="Z6" s="109">
        <v>18.622296022143711</v>
      </c>
      <c r="AA6" s="483">
        <v>18.730059625748723</v>
      </c>
      <c r="AB6" s="434">
        <v>4.9000000000000004</v>
      </c>
      <c r="AC6" s="449">
        <v>3.9</v>
      </c>
      <c r="AD6" s="449">
        <v>4.5</v>
      </c>
      <c r="AE6" s="449">
        <v>4.4000000000000004</v>
      </c>
      <c r="AF6" s="449">
        <v>4.5</v>
      </c>
      <c r="AG6" s="449">
        <v>5.0999999999999996</v>
      </c>
      <c r="AH6" s="449">
        <v>4.4000000000000004</v>
      </c>
      <c r="AI6" s="449">
        <v>4</v>
      </c>
      <c r="AJ6" s="450">
        <v>4.5999999999999996</v>
      </c>
      <c r="AK6" s="437">
        <v>4.6045403142422812</v>
      </c>
      <c r="AL6" s="109">
        <v>4.464347842272125</v>
      </c>
      <c r="AM6" s="415">
        <v>4.6221980416543289</v>
      </c>
      <c r="AN6" s="489">
        <v>4.5782738249813582</v>
      </c>
      <c r="AO6" s="251">
        <v>2.4</v>
      </c>
      <c r="AP6" s="435">
        <v>2.8</v>
      </c>
      <c r="AQ6" s="109">
        <v>2.5</v>
      </c>
      <c r="AR6" s="436">
        <v>2.5</v>
      </c>
      <c r="AS6" s="436">
        <v>2.5</v>
      </c>
      <c r="AT6" s="449">
        <v>2.8</v>
      </c>
      <c r="AU6" s="448">
        <v>2.2999999999999998</v>
      </c>
      <c r="AV6" s="415">
        <v>2.1</v>
      </c>
      <c r="AW6" s="415">
        <v>2.2999999999999998</v>
      </c>
      <c r="AX6" s="109">
        <v>2.2244765534566118</v>
      </c>
      <c r="AY6" s="415">
        <v>2.1514027335785557</v>
      </c>
      <c r="AZ6" s="109">
        <v>2.0049402141194301</v>
      </c>
      <c r="BA6" s="489">
        <v>2.4237522914591301</v>
      </c>
      <c r="BB6" s="490"/>
    </row>
    <row r="7" spans="1:54" ht="12" customHeight="1" x14ac:dyDescent="0.25">
      <c r="A7" s="213" t="s">
        <v>2</v>
      </c>
      <c r="B7" s="438">
        <v>62.9</v>
      </c>
      <c r="C7" s="445">
        <v>65.400000000000006</v>
      </c>
      <c r="D7" s="252">
        <v>72.099999999999994</v>
      </c>
      <c r="E7" s="58">
        <v>81.3</v>
      </c>
      <c r="F7" s="252">
        <v>66.099999999999994</v>
      </c>
      <c r="G7" s="252">
        <v>62.5</v>
      </c>
      <c r="H7" s="252">
        <v>61.4</v>
      </c>
      <c r="I7" s="58">
        <v>61.5</v>
      </c>
      <c r="J7" s="252">
        <v>67.099999999999994</v>
      </c>
      <c r="K7" s="58">
        <v>69.117465293821795</v>
      </c>
      <c r="L7" s="252">
        <v>68.755386917608647</v>
      </c>
      <c r="M7" s="58">
        <v>69.446665698070049</v>
      </c>
      <c r="N7" s="471">
        <v>62.275921027615354</v>
      </c>
      <c r="O7" s="438">
        <v>21</v>
      </c>
      <c r="P7" s="446">
        <v>16.600000000000001</v>
      </c>
      <c r="Q7" s="446">
        <v>13.3</v>
      </c>
      <c r="R7" s="446">
        <v>8.5</v>
      </c>
      <c r="S7" s="446">
        <v>16.5</v>
      </c>
      <c r="T7" s="446">
        <v>18.5</v>
      </c>
      <c r="U7" s="446">
        <v>16.399999999999999</v>
      </c>
      <c r="V7" s="446">
        <v>17.899999999999999</v>
      </c>
      <c r="W7" s="447">
        <v>14.5</v>
      </c>
      <c r="X7" s="58">
        <v>13.701387258848271</v>
      </c>
      <c r="Y7" s="439">
        <v>12.949398256576627</v>
      </c>
      <c r="Z7" s="58">
        <v>14.910947852036834</v>
      </c>
      <c r="AA7" s="471">
        <v>16.398447427344401</v>
      </c>
      <c r="AB7" s="438">
        <v>5.3</v>
      </c>
      <c r="AC7" s="446">
        <v>4</v>
      </c>
      <c r="AD7" s="446">
        <v>4</v>
      </c>
      <c r="AE7" s="446">
        <v>2.4</v>
      </c>
      <c r="AF7" s="446">
        <v>4.5999999999999996</v>
      </c>
      <c r="AG7" s="446">
        <v>5.2</v>
      </c>
      <c r="AH7" s="446">
        <v>4.7</v>
      </c>
      <c r="AI7" s="446">
        <v>5.0999999999999996</v>
      </c>
      <c r="AJ7" s="447">
        <v>4.3</v>
      </c>
      <c r="AK7" s="440">
        <v>3.9771100038158971</v>
      </c>
      <c r="AL7" s="440">
        <v>3.9351077304348814</v>
      </c>
      <c r="AM7" s="440">
        <v>4.4634607364923484</v>
      </c>
      <c r="AN7" s="252">
        <v>4.680456292163452</v>
      </c>
      <c r="AO7" s="252">
        <v>1</v>
      </c>
      <c r="AP7" s="441">
        <v>1.8</v>
      </c>
      <c r="AQ7" s="58">
        <v>1.7</v>
      </c>
      <c r="AR7" s="442">
        <v>1</v>
      </c>
      <c r="AS7" s="442">
        <v>1.9</v>
      </c>
      <c r="AT7" s="446">
        <v>2.1</v>
      </c>
      <c r="AU7" s="445">
        <v>2</v>
      </c>
      <c r="AV7" s="252">
        <v>2.4</v>
      </c>
      <c r="AW7" s="252">
        <v>1.7</v>
      </c>
      <c r="AX7" s="58">
        <v>2.2364792325791045</v>
      </c>
      <c r="AY7" s="252">
        <v>2.9604803512611109</v>
      </c>
      <c r="AZ7" s="58">
        <v>3.4065350555788765</v>
      </c>
      <c r="BA7" s="252">
        <v>3.6310028769195144</v>
      </c>
      <c r="BB7" s="492"/>
    </row>
    <row r="8" spans="1:54" ht="12" customHeight="1" x14ac:dyDescent="0.25">
      <c r="A8" s="213" t="s">
        <v>3</v>
      </c>
      <c r="B8" s="438">
        <v>57.4</v>
      </c>
      <c r="C8" s="445">
        <v>62.2</v>
      </c>
      <c r="D8" s="252">
        <v>62.7</v>
      </c>
      <c r="E8" s="58">
        <v>64.7</v>
      </c>
      <c r="F8" s="252">
        <v>65.7</v>
      </c>
      <c r="G8" s="252">
        <v>68.8</v>
      </c>
      <c r="H8" s="252">
        <v>68.8</v>
      </c>
      <c r="I8" s="58">
        <v>67.400000000000006</v>
      </c>
      <c r="J8" s="252">
        <v>62.4</v>
      </c>
      <c r="K8" s="58">
        <v>65.927260446865844</v>
      </c>
      <c r="L8" s="252">
        <v>67.278346036611751</v>
      </c>
      <c r="M8" s="58">
        <v>64.070053127009359</v>
      </c>
      <c r="N8" s="471">
        <v>87.202357349120987</v>
      </c>
      <c r="O8" s="438">
        <v>25</v>
      </c>
      <c r="P8" s="446">
        <v>23.4</v>
      </c>
      <c r="Q8" s="446">
        <v>21.2</v>
      </c>
      <c r="R8" s="446">
        <v>22.1</v>
      </c>
      <c r="S8" s="446">
        <v>21</v>
      </c>
      <c r="T8" s="446">
        <v>17.399999999999999</v>
      </c>
      <c r="U8" s="446">
        <v>15.7</v>
      </c>
      <c r="V8" s="446">
        <v>15.7</v>
      </c>
      <c r="W8" s="447">
        <v>19.100000000000001</v>
      </c>
      <c r="X8" s="58">
        <v>16.138401081629659</v>
      </c>
      <c r="Y8" s="439">
        <v>15.498615649851541</v>
      </c>
      <c r="Z8" s="58">
        <v>17.36744910958647</v>
      </c>
      <c r="AA8" s="471">
        <v>6.6727454009191209</v>
      </c>
      <c r="AB8" s="438">
        <v>6.3</v>
      </c>
      <c r="AC8" s="446">
        <v>5.5</v>
      </c>
      <c r="AD8" s="446">
        <v>6.7</v>
      </c>
      <c r="AE8" s="446">
        <v>6.4</v>
      </c>
      <c r="AF8" s="446">
        <v>6.2</v>
      </c>
      <c r="AG8" s="446">
        <v>4.8</v>
      </c>
      <c r="AH8" s="446">
        <v>4.7</v>
      </c>
      <c r="AI8" s="446">
        <v>4.8</v>
      </c>
      <c r="AJ8" s="447">
        <v>5.6</v>
      </c>
      <c r="AK8" s="440">
        <v>4.7380007087435976</v>
      </c>
      <c r="AL8" s="440">
        <v>4.4988428166109706</v>
      </c>
      <c r="AM8" s="440">
        <v>4.9468743095128591</v>
      </c>
      <c r="AN8" s="252">
        <v>1.8866893136963376</v>
      </c>
      <c r="AO8" s="252">
        <v>4.5</v>
      </c>
      <c r="AP8" s="441">
        <v>2.9</v>
      </c>
      <c r="AQ8" s="58">
        <v>3.1</v>
      </c>
      <c r="AR8" s="442">
        <v>3.2</v>
      </c>
      <c r="AS8" s="442">
        <v>3.1</v>
      </c>
      <c r="AT8" s="446">
        <v>2.2999999999999998</v>
      </c>
      <c r="AU8" s="445">
        <v>4.8</v>
      </c>
      <c r="AV8" s="252">
        <v>4.0999999999999996</v>
      </c>
      <c r="AW8" s="252">
        <v>5.8</v>
      </c>
      <c r="AX8" s="58">
        <v>4.9517763587891501</v>
      </c>
      <c r="AY8" s="252">
        <v>5.1863144707001192</v>
      </c>
      <c r="AZ8" s="58">
        <v>6.5858112910127931</v>
      </c>
      <c r="BA8" s="252">
        <v>1.6767237315613728</v>
      </c>
      <c r="BB8" s="492"/>
    </row>
    <row r="9" spans="1:54" ht="12" customHeight="1" x14ac:dyDescent="0.25">
      <c r="A9" s="213" t="s">
        <v>4</v>
      </c>
      <c r="B9" s="438">
        <v>59</v>
      </c>
      <c r="C9" s="445">
        <v>50.4</v>
      </c>
      <c r="D9" s="252">
        <v>52.1</v>
      </c>
      <c r="E9" s="58">
        <v>58.2</v>
      </c>
      <c r="F9" s="252">
        <v>55.3</v>
      </c>
      <c r="G9" s="252">
        <v>54.7</v>
      </c>
      <c r="H9" s="252">
        <v>57.6</v>
      </c>
      <c r="I9" s="58">
        <v>51.6</v>
      </c>
      <c r="J9" s="252">
        <v>49.4</v>
      </c>
      <c r="K9" s="58">
        <v>58.121129999856635</v>
      </c>
      <c r="L9" s="252">
        <v>46.473508199569267</v>
      </c>
      <c r="M9" s="58">
        <v>51.427584800224366</v>
      </c>
      <c r="N9" s="471">
        <v>55.750904271427316</v>
      </c>
      <c r="O9" s="438">
        <v>24.2</v>
      </c>
      <c r="P9" s="446">
        <v>25.1</v>
      </c>
      <c r="Q9" s="446">
        <v>23.4</v>
      </c>
      <c r="R9" s="446">
        <v>22</v>
      </c>
      <c r="S9" s="446">
        <v>25.4</v>
      </c>
      <c r="T9" s="446">
        <v>21.2</v>
      </c>
      <c r="U9" s="446">
        <v>20.2</v>
      </c>
      <c r="V9" s="446">
        <v>23.8</v>
      </c>
      <c r="W9" s="447">
        <v>27.2</v>
      </c>
      <c r="X9" s="58">
        <v>20.036431708358656</v>
      </c>
      <c r="Y9" s="439">
        <v>28.936023176972231</v>
      </c>
      <c r="Z9" s="58">
        <v>29.276192947224917</v>
      </c>
      <c r="AA9" s="471">
        <v>16.110454470240477</v>
      </c>
      <c r="AB9" s="438">
        <v>5.8</v>
      </c>
      <c r="AC9" s="446">
        <v>6.1</v>
      </c>
      <c r="AD9" s="446">
        <v>7.4</v>
      </c>
      <c r="AE9" s="446">
        <v>6.4</v>
      </c>
      <c r="AF9" s="446">
        <v>7.1</v>
      </c>
      <c r="AG9" s="446">
        <v>6.2</v>
      </c>
      <c r="AH9" s="446">
        <v>4.7</v>
      </c>
      <c r="AI9" s="446">
        <v>4.7</v>
      </c>
      <c r="AJ9" s="447">
        <v>5.5</v>
      </c>
      <c r="AK9" s="440">
        <v>5.3795939858574071</v>
      </c>
      <c r="AL9" s="440">
        <v>8.4350835650580436</v>
      </c>
      <c r="AM9" s="440">
        <v>7.2925493383805291</v>
      </c>
      <c r="AN9" s="252">
        <v>3.4285047823141186</v>
      </c>
      <c r="AO9" s="252">
        <v>4.5</v>
      </c>
      <c r="AP9" s="441">
        <v>4</v>
      </c>
      <c r="AQ9" s="58">
        <v>3.6</v>
      </c>
      <c r="AR9" s="442">
        <v>3.1</v>
      </c>
      <c r="AS9" s="442">
        <v>2.6</v>
      </c>
      <c r="AT9" s="446">
        <v>2.1</v>
      </c>
      <c r="AU9" s="445">
        <v>1.7</v>
      </c>
      <c r="AV9" s="252">
        <v>1.3</v>
      </c>
      <c r="AW9" s="252">
        <v>0.6</v>
      </c>
      <c r="AX9" s="58">
        <v>0.93134582275665423</v>
      </c>
      <c r="AY9" s="252">
        <v>2.0023460187936983</v>
      </c>
      <c r="AZ9" s="58">
        <v>2.9363066590878755</v>
      </c>
      <c r="BA9" s="252">
        <v>2.071585711602058</v>
      </c>
      <c r="BB9" s="492"/>
    </row>
    <row r="10" spans="1:54" ht="12" customHeight="1" x14ac:dyDescent="0.25">
      <c r="A10" s="213" t="s">
        <v>5</v>
      </c>
      <c r="B10" s="438">
        <v>58.4</v>
      </c>
      <c r="C10" s="445">
        <v>70.900000000000006</v>
      </c>
      <c r="D10" s="252">
        <v>66.7</v>
      </c>
      <c r="E10" s="58">
        <v>64.599999999999994</v>
      </c>
      <c r="F10" s="252">
        <v>64.7</v>
      </c>
      <c r="G10" s="252">
        <v>65</v>
      </c>
      <c r="H10" s="252">
        <v>70.099999999999994</v>
      </c>
      <c r="I10" s="58">
        <v>71.900000000000006</v>
      </c>
      <c r="J10" s="252">
        <v>74</v>
      </c>
      <c r="K10" s="58">
        <v>74.413789130994928</v>
      </c>
      <c r="L10" s="252">
        <v>70.310789290036041</v>
      </c>
      <c r="M10" s="58">
        <v>78.223171756114198</v>
      </c>
      <c r="N10" s="471">
        <v>67.793300379603991</v>
      </c>
      <c r="O10" s="438">
        <v>24.3</v>
      </c>
      <c r="P10" s="446">
        <v>16.2</v>
      </c>
      <c r="Q10" s="446">
        <v>16.2</v>
      </c>
      <c r="R10" s="446">
        <v>17.899999999999999</v>
      </c>
      <c r="S10" s="446">
        <v>17.2</v>
      </c>
      <c r="T10" s="446">
        <v>16.600000000000001</v>
      </c>
      <c r="U10" s="446">
        <v>13.2</v>
      </c>
      <c r="V10" s="446">
        <v>13.2</v>
      </c>
      <c r="W10" s="447">
        <v>11.9</v>
      </c>
      <c r="X10" s="58">
        <v>11.824797474269042</v>
      </c>
      <c r="Y10" s="439">
        <v>12.756583294655998</v>
      </c>
      <c r="Z10" s="58">
        <v>9.5529905565524285</v>
      </c>
      <c r="AA10" s="471">
        <v>15.781609531816068</v>
      </c>
      <c r="AB10" s="438">
        <v>6</v>
      </c>
      <c r="AC10" s="446">
        <v>3.9</v>
      </c>
      <c r="AD10" s="446">
        <v>5.0999999999999996</v>
      </c>
      <c r="AE10" s="446">
        <v>5.2</v>
      </c>
      <c r="AF10" s="446">
        <v>4.9000000000000004</v>
      </c>
      <c r="AG10" s="446">
        <v>4.8</v>
      </c>
      <c r="AH10" s="446">
        <v>3.9</v>
      </c>
      <c r="AI10" s="446">
        <v>4</v>
      </c>
      <c r="AJ10" s="447">
        <v>3.5</v>
      </c>
      <c r="AK10" s="440">
        <v>3.4255283520354673</v>
      </c>
      <c r="AL10" s="440">
        <v>3.766011366283025</v>
      </c>
      <c r="AM10" s="440">
        <v>2.5450315308361087</v>
      </c>
      <c r="AN10" s="252">
        <v>3.478921707435894</v>
      </c>
      <c r="AO10" s="252">
        <v>2.2000000000000002</v>
      </c>
      <c r="AP10" s="441">
        <v>2.2000000000000002</v>
      </c>
      <c r="AQ10" s="58">
        <v>2.4</v>
      </c>
      <c r="AR10" s="442">
        <v>2.5</v>
      </c>
      <c r="AS10" s="442">
        <v>2.7</v>
      </c>
      <c r="AT10" s="446">
        <v>3.2</v>
      </c>
      <c r="AU10" s="445">
        <v>3.1</v>
      </c>
      <c r="AV10" s="252">
        <v>3.9</v>
      </c>
      <c r="AW10" s="252">
        <v>3</v>
      </c>
      <c r="AX10" s="58">
        <v>3.0946725873339664</v>
      </c>
      <c r="AY10" s="252">
        <v>2.8507526957849074</v>
      </c>
      <c r="AZ10" s="58">
        <v>2.0379853468998466</v>
      </c>
      <c r="BA10" s="252">
        <v>3.2555065675614197</v>
      </c>
      <c r="BB10" s="492"/>
    </row>
    <row r="11" spans="1:54" ht="12" customHeight="1" x14ac:dyDescent="0.25">
      <c r="A11" s="213" t="s">
        <v>6</v>
      </c>
      <c r="B11" s="438">
        <v>60.3</v>
      </c>
      <c r="C11" s="445">
        <v>49.9</v>
      </c>
      <c r="D11" s="252">
        <v>47.9</v>
      </c>
      <c r="E11" s="58">
        <v>51.3</v>
      </c>
      <c r="F11" s="252">
        <v>48.3</v>
      </c>
      <c r="G11" s="252">
        <v>62.5</v>
      </c>
      <c r="H11" s="252">
        <v>63.5</v>
      </c>
      <c r="I11" s="58">
        <v>51.8</v>
      </c>
      <c r="J11" s="252">
        <v>41.3</v>
      </c>
      <c r="K11" s="58">
        <v>72.766933466778397</v>
      </c>
      <c r="L11" s="252">
        <v>74.000985803247744</v>
      </c>
      <c r="M11" s="58">
        <v>79.79063539980848</v>
      </c>
      <c r="N11" s="471">
        <v>72.043156740229534</v>
      </c>
      <c r="O11" s="438">
        <v>22.3</v>
      </c>
      <c r="P11" s="446">
        <v>26</v>
      </c>
      <c r="Q11" s="446">
        <v>26.1</v>
      </c>
      <c r="R11" s="446">
        <v>25.7</v>
      </c>
      <c r="S11" s="446">
        <v>28.7</v>
      </c>
      <c r="T11" s="446">
        <v>23.1</v>
      </c>
      <c r="U11" s="446">
        <v>15.9</v>
      </c>
      <c r="V11" s="446">
        <v>13.4</v>
      </c>
      <c r="W11" s="447">
        <v>9.3000000000000007</v>
      </c>
      <c r="X11" s="58">
        <v>12.575514211988633</v>
      </c>
      <c r="Y11" s="439">
        <v>6.0905263021279072</v>
      </c>
      <c r="Z11" s="58">
        <v>5.7425058094262944</v>
      </c>
      <c r="AA11" s="471">
        <v>6.6478323547344775</v>
      </c>
      <c r="AB11" s="438">
        <v>4.5999999999999996</v>
      </c>
      <c r="AC11" s="446">
        <v>6.1</v>
      </c>
      <c r="AD11" s="446">
        <v>6.7</v>
      </c>
      <c r="AE11" s="446">
        <v>6.5</v>
      </c>
      <c r="AF11" s="446">
        <v>8.1999999999999993</v>
      </c>
      <c r="AG11" s="446">
        <v>6.5</v>
      </c>
      <c r="AH11" s="446">
        <v>4.9000000000000004</v>
      </c>
      <c r="AI11" s="446">
        <v>4.2</v>
      </c>
      <c r="AJ11" s="447">
        <v>2.8</v>
      </c>
      <c r="AK11" s="440">
        <v>3.7582148363422974</v>
      </c>
      <c r="AL11" s="440">
        <v>1.8044916074832162</v>
      </c>
      <c r="AM11" s="440">
        <v>1.6725503534701331</v>
      </c>
      <c r="AN11" s="252">
        <v>1.9333048229521699</v>
      </c>
      <c r="AO11" s="252">
        <v>1.6</v>
      </c>
      <c r="AP11" s="441">
        <v>1.7</v>
      </c>
      <c r="AQ11" s="58">
        <v>1.6</v>
      </c>
      <c r="AR11" s="442">
        <v>2.2000000000000002</v>
      </c>
      <c r="AS11" s="442">
        <v>2</v>
      </c>
      <c r="AT11" s="446">
        <v>1.8</v>
      </c>
      <c r="AU11" s="445">
        <v>2.5</v>
      </c>
      <c r="AV11" s="252">
        <v>1.9</v>
      </c>
      <c r="AW11" s="252">
        <v>0.6</v>
      </c>
      <c r="AX11" s="58">
        <v>0.72459586218317673</v>
      </c>
      <c r="AY11" s="252">
        <v>0.34562949557477102</v>
      </c>
      <c r="AZ11" s="58">
        <v>0.24094914699692677</v>
      </c>
      <c r="BA11" s="252">
        <v>0.19515758973258765</v>
      </c>
      <c r="BB11" s="492"/>
    </row>
    <row r="12" spans="1:54" ht="12" customHeight="1" x14ac:dyDescent="0.25">
      <c r="A12" s="213" t="s">
        <v>7</v>
      </c>
      <c r="B12" s="438">
        <v>59.6</v>
      </c>
      <c r="C12" s="445">
        <v>68.900000000000006</v>
      </c>
      <c r="D12" s="252">
        <v>70.900000000000006</v>
      </c>
      <c r="E12" s="58">
        <v>78.599999999999994</v>
      </c>
      <c r="F12" s="252">
        <v>71.900000000000006</v>
      </c>
      <c r="G12" s="252">
        <v>73.2</v>
      </c>
      <c r="H12" s="252">
        <v>86.3</v>
      </c>
      <c r="I12" s="58">
        <v>89.1</v>
      </c>
      <c r="J12" s="252">
        <v>85.6</v>
      </c>
      <c r="K12" s="58">
        <v>75.083386908685156</v>
      </c>
      <c r="L12" s="252">
        <v>68.892793262461112</v>
      </c>
      <c r="M12" s="58">
        <v>70.344913703877992</v>
      </c>
      <c r="N12" s="471">
        <v>66.739843260869094</v>
      </c>
      <c r="O12" s="438">
        <v>22.7</v>
      </c>
      <c r="P12" s="446">
        <v>15.8</v>
      </c>
      <c r="Q12" s="446">
        <v>15.3</v>
      </c>
      <c r="R12" s="446">
        <v>9.6999999999999993</v>
      </c>
      <c r="S12" s="446">
        <v>9.3000000000000007</v>
      </c>
      <c r="T12" s="446">
        <v>8</v>
      </c>
      <c r="U12" s="446">
        <v>5.7</v>
      </c>
      <c r="V12" s="446">
        <v>6.2</v>
      </c>
      <c r="W12" s="447">
        <v>6</v>
      </c>
      <c r="X12" s="58">
        <v>11.652089820215929</v>
      </c>
      <c r="Y12" s="439">
        <v>14.247893792752093</v>
      </c>
      <c r="Z12" s="58">
        <v>11.877873771097251</v>
      </c>
      <c r="AA12" s="471">
        <v>13.732925594988558</v>
      </c>
      <c r="AB12" s="438">
        <v>5</v>
      </c>
      <c r="AC12" s="446">
        <v>3.5</v>
      </c>
      <c r="AD12" s="446">
        <v>4.2</v>
      </c>
      <c r="AE12" s="446">
        <v>2.6</v>
      </c>
      <c r="AF12" s="446">
        <v>2.2999999999999998</v>
      </c>
      <c r="AG12" s="446">
        <v>1.8</v>
      </c>
      <c r="AH12" s="446">
        <v>1.6</v>
      </c>
      <c r="AI12" s="446">
        <v>1.8</v>
      </c>
      <c r="AJ12" s="447">
        <v>1.7</v>
      </c>
      <c r="AK12" s="440">
        <v>3.2455284807941984</v>
      </c>
      <c r="AL12" s="440">
        <v>3.9157723663894242</v>
      </c>
      <c r="AM12" s="440">
        <v>3.0804120987849268</v>
      </c>
      <c r="AN12" s="252">
        <v>3.7280135087038668</v>
      </c>
      <c r="AO12" s="252">
        <v>2.5</v>
      </c>
      <c r="AP12" s="441">
        <v>1.9</v>
      </c>
      <c r="AQ12" s="58">
        <v>2.7</v>
      </c>
      <c r="AR12" s="442">
        <v>1.3</v>
      </c>
      <c r="AS12" s="442">
        <v>1.3</v>
      </c>
      <c r="AT12" s="446">
        <v>1.4</v>
      </c>
      <c r="AU12" s="445">
        <v>1.4</v>
      </c>
      <c r="AV12" s="252">
        <v>1.4</v>
      </c>
      <c r="AW12" s="252">
        <v>1</v>
      </c>
      <c r="AX12" s="58">
        <v>1.9833306982340204</v>
      </c>
      <c r="AY12" s="252">
        <v>2.2372345095236756</v>
      </c>
      <c r="AZ12" s="58">
        <v>2.2878455761917249</v>
      </c>
      <c r="BA12" s="252">
        <v>3.9298368044634526</v>
      </c>
      <c r="BB12" s="492"/>
    </row>
    <row r="13" spans="1:54" ht="12" customHeight="1" x14ac:dyDescent="0.25">
      <c r="A13" s="213" t="s">
        <v>8</v>
      </c>
      <c r="B13" s="438">
        <v>61</v>
      </c>
      <c r="C13" s="445">
        <v>48.1</v>
      </c>
      <c r="D13" s="252">
        <v>53.9</v>
      </c>
      <c r="E13" s="58">
        <v>53.2</v>
      </c>
      <c r="F13" s="252">
        <v>42.9</v>
      </c>
      <c r="G13" s="252">
        <v>60</v>
      </c>
      <c r="H13" s="252">
        <v>62.1</v>
      </c>
      <c r="I13" s="58">
        <v>65.7</v>
      </c>
      <c r="J13" s="252">
        <v>68.2</v>
      </c>
      <c r="K13" s="58">
        <v>58.978247353138954</v>
      </c>
      <c r="L13" s="252">
        <v>63.548076123898113</v>
      </c>
      <c r="M13" s="58">
        <v>54.351981390130597</v>
      </c>
      <c r="N13" s="471">
        <v>67.859621416613351</v>
      </c>
      <c r="O13" s="438">
        <v>22.3</v>
      </c>
      <c r="P13" s="446">
        <v>30.2</v>
      </c>
      <c r="Q13" s="446">
        <v>28.4</v>
      </c>
      <c r="R13" s="446">
        <v>25.5</v>
      </c>
      <c r="S13" s="446">
        <v>26.4</v>
      </c>
      <c r="T13" s="446">
        <v>25.5</v>
      </c>
      <c r="U13" s="446">
        <v>23.1</v>
      </c>
      <c r="V13" s="446">
        <v>20.5</v>
      </c>
      <c r="W13" s="447">
        <v>17.3</v>
      </c>
      <c r="X13" s="58">
        <v>20.413274380966271</v>
      </c>
      <c r="Y13" s="439">
        <v>18.408363983907989</v>
      </c>
      <c r="Z13" s="58">
        <v>16.118725556977004</v>
      </c>
      <c r="AA13" s="471">
        <v>12.278520085951328</v>
      </c>
      <c r="AB13" s="438">
        <v>5.4</v>
      </c>
      <c r="AC13" s="446">
        <v>5.8</v>
      </c>
      <c r="AD13" s="446">
        <v>7.2</v>
      </c>
      <c r="AE13" s="446">
        <v>5.4</v>
      </c>
      <c r="AF13" s="446">
        <v>5.0999999999999996</v>
      </c>
      <c r="AG13" s="446">
        <v>5.0999999999999996</v>
      </c>
      <c r="AH13" s="446">
        <v>5.7</v>
      </c>
      <c r="AI13" s="446">
        <v>5</v>
      </c>
      <c r="AJ13" s="447">
        <v>4.2</v>
      </c>
      <c r="AK13" s="440">
        <v>4.8333030824286745</v>
      </c>
      <c r="AL13" s="440">
        <v>4.6079294538047977</v>
      </c>
      <c r="AM13" s="440">
        <v>4.0766718970463165</v>
      </c>
      <c r="AN13" s="252">
        <v>3</v>
      </c>
      <c r="AO13" s="252">
        <v>3.1</v>
      </c>
      <c r="AP13" s="441">
        <v>4.5999999999999996</v>
      </c>
      <c r="AQ13" s="58">
        <v>1.9</v>
      </c>
      <c r="AR13" s="442">
        <v>1.7</v>
      </c>
      <c r="AS13" s="442">
        <v>1.8</v>
      </c>
      <c r="AT13" s="446">
        <v>1.5</v>
      </c>
      <c r="AU13" s="445">
        <v>2.7</v>
      </c>
      <c r="AV13" s="252">
        <v>1.6</v>
      </c>
      <c r="AW13" s="252">
        <v>1.1000000000000001</v>
      </c>
      <c r="AX13" s="58">
        <v>1.3246718673081488</v>
      </c>
      <c r="AY13" s="252">
        <v>1.7216061709114883</v>
      </c>
      <c r="AZ13" s="58">
        <v>1.6919935687144709</v>
      </c>
      <c r="BA13" s="252">
        <v>5.3626773751391568</v>
      </c>
      <c r="BB13" s="492"/>
    </row>
    <row r="14" spans="1:54" ht="12" customHeight="1" x14ac:dyDescent="0.25">
      <c r="A14" s="213" t="s">
        <v>9</v>
      </c>
      <c r="B14" s="438">
        <v>64.599999999999994</v>
      </c>
      <c r="C14" s="445">
        <v>62.4</v>
      </c>
      <c r="D14" s="252">
        <v>63.8</v>
      </c>
      <c r="E14" s="58">
        <v>66</v>
      </c>
      <c r="F14" s="252">
        <v>64.099999999999994</v>
      </c>
      <c r="G14" s="252">
        <v>61.5</v>
      </c>
      <c r="H14" s="252">
        <v>63.6</v>
      </c>
      <c r="I14" s="58">
        <v>62.4</v>
      </c>
      <c r="J14" s="252">
        <v>65.599999999999994</v>
      </c>
      <c r="K14" s="58">
        <v>61.857035535562886</v>
      </c>
      <c r="L14" s="252">
        <v>63.873287816822767</v>
      </c>
      <c r="M14" s="58">
        <v>62.690130198729754</v>
      </c>
      <c r="N14" s="471">
        <v>65.845658461696019</v>
      </c>
      <c r="O14" s="438">
        <v>23.8</v>
      </c>
      <c r="P14" s="446">
        <v>21.9</v>
      </c>
      <c r="Q14" s="446">
        <v>20.2</v>
      </c>
      <c r="R14" s="446">
        <v>19</v>
      </c>
      <c r="S14" s="446">
        <v>22.6</v>
      </c>
      <c r="T14" s="446">
        <v>24.1</v>
      </c>
      <c r="U14" s="446">
        <v>22.9</v>
      </c>
      <c r="V14" s="446">
        <v>24.2</v>
      </c>
      <c r="W14" s="447">
        <v>22.3</v>
      </c>
      <c r="X14" s="58">
        <v>25.166885532483938</v>
      </c>
      <c r="Y14" s="439">
        <v>23.323367568442784</v>
      </c>
      <c r="Z14" s="58">
        <v>22.610433333771425</v>
      </c>
      <c r="AA14" s="471">
        <v>21.326465343040795</v>
      </c>
      <c r="AB14" s="438">
        <v>6.2</v>
      </c>
      <c r="AC14" s="446">
        <v>5.5</v>
      </c>
      <c r="AD14" s="446">
        <v>6.4</v>
      </c>
      <c r="AE14" s="446">
        <v>5.7</v>
      </c>
      <c r="AF14" s="446">
        <v>6.6</v>
      </c>
      <c r="AG14" s="446">
        <v>7</v>
      </c>
      <c r="AH14" s="446">
        <v>7</v>
      </c>
      <c r="AI14" s="446">
        <v>7</v>
      </c>
      <c r="AJ14" s="447">
        <v>6.5</v>
      </c>
      <c r="AK14" s="440">
        <v>7.4913529551697851</v>
      </c>
      <c r="AL14" s="440">
        <v>6.8919234332154886</v>
      </c>
      <c r="AM14" s="440">
        <v>6.5317211862248339</v>
      </c>
      <c r="AN14" s="252">
        <v>3</v>
      </c>
      <c r="AO14" s="252">
        <v>1.8</v>
      </c>
      <c r="AP14" s="441">
        <v>1.9</v>
      </c>
      <c r="AQ14" s="58">
        <v>1.9</v>
      </c>
      <c r="AR14" s="442">
        <v>1.6</v>
      </c>
      <c r="AS14" s="442">
        <v>1.6</v>
      </c>
      <c r="AT14" s="446">
        <v>1.9</v>
      </c>
      <c r="AU14" s="445">
        <v>2.2000000000000002</v>
      </c>
      <c r="AV14" s="252">
        <v>2.8</v>
      </c>
      <c r="AW14" s="252">
        <v>2.5</v>
      </c>
      <c r="AX14" s="58">
        <v>2.2679962432755567</v>
      </c>
      <c r="AY14" s="252">
        <v>1.9350740904219039</v>
      </c>
      <c r="AZ14" s="58">
        <v>1.9633740099189536</v>
      </c>
      <c r="BA14" s="252">
        <v>1.7</v>
      </c>
      <c r="BB14" s="492"/>
    </row>
    <row r="15" spans="1:54" ht="12" customHeight="1" x14ac:dyDescent="0.25">
      <c r="A15" s="213" t="s">
        <v>10</v>
      </c>
      <c r="B15" s="438">
        <v>56.2</v>
      </c>
      <c r="C15" s="445">
        <v>52.5</v>
      </c>
      <c r="D15" s="252">
        <v>57</v>
      </c>
      <c r="E15" s="58">
        <v>53.3</v>
      </c>
      <c r="F15" s="252">
        <v>56.2</v>
      </c>
      <c r="G15" s="252">
        <v>59.7</v>
      </c>
      <c r="H15" s="252">
        <v>62.8</v>
      </c>
      <c r="I15" s="58">
        <v>62.4</v>
      </c>
      <c r="J15" s="252">
        <v>69</v>
      </c>
      <c r="K15" s="58">
        <v>64.44251801214503</v>
      </c>
      <c r="L15" s="252">
        <v>56.583060786491949</v>
      </c>
      <c r="M15" s="58">
        <v>64.62574341769421</v>
      </c>
      <c r="N15" s="471">
        <v>54.707134363242702</v>
      </c>
      <c r="O15" s="438">
        <v>27.3</v>
      </c>
      <c r="P15" s="446">
        <v>27.2</v>
      </c>
      <c r="Q15" s="446">
        <v>23.4</v>
      </c>
      <c r="R15" s="446">
        <v>25.3</v>
      </c>
      <c r="S15" s="446">
        <v>24.1</v>
      </c>
      <c r="T15" s="446">
        <v>20.5</v>
      </c>
      <c r="U15" s="446">
        <v>20.5</v>
      </c>
      <c r="V15" s="446">
        <v>20.3</v>
      </c>
      <c r="W15" s="447">
        <v>15.3</v>
      </c>
      <c r="X15" s="58">
        <v>21.034628623111864</v>
      </c>
      <c r="Y15" s="439">
        <v>27.165545659536093</v>
      </c>
      <c r="Z15" s="58">
        <v>22.747408171829935</v>
      </c>
      <c r="AA15" s="471">
        <v>23.486307741130226</v>
      </c>
      <c r="AB15" s="438">
        <v>7.8</v>
      </c>
      <c r="AC15" s="446">
        <v>6.6</v>
      </c>
      <c r="AD15" s="446">
        <v>7.2</v>
      </c>
      <c r="AE15" s="446">
        <v>7.3</v>
      </c>
      <c r="AF15" s="446">
        <v>6.9</v>
      </c>
      <c r="AG15" s="446">
        <v>5.8</v>
      </c>
      <c r="AH15" s="446">
        <v>6.2</v>
      </c>
      <c r="AI15" s="446">
        <v>6.1</v>
      </c>
      <c r="AJ15" s="447">
        <v>4.5999999999999996</v>
      </c>
      <c r="AK15" s="440">
        <v>6.1778837491212339</v>
      </c>
      <c r="AL15" s="440">
        <v>8.1215436477955389</v>
      </c>
      <c r="AM15" s="440">
        <v>6.0878469261394832</v>
      </c>
      <c r="AN15" s="252">
        <v>6</v>
      </c>
      <c r="AO15" s="252">
        <v>1.7</v>
      </c>
      <c r="AP15" s="441">
        <v>3.3</v>
      </c>
      <c r="AQ15" s="58">
        <v>2.9</v>
      </c>
      <c r="AR15" s="442">
        <v>3.9</v>
      </c>
      <c r="AS15" s="442">
        <v>4</v>
      </c>
      <c r="AT15" s="446">
        <v>4</v>
      </c>
      <c r="AU15" s="445">
        <v>3.7</v>
      </c>
      <c r="AV15" s="252">
        <v>4.0999999999999996</v>
      </c>
      <c r="AW15" s="252">
        <v>2.7</v>
      </c>
      <c r="AX15" s="58">
        <v>2.4082004155925438</v>
      </c>
      <c r="AY15" s="252">
        <v>2.2198385053965231</v>
      </c>
      <c r="AZ15" s="58">
        <v>1.5034009617605066</v>
      </c>
      <c r="BA15" s="252">
        <v>4.3</v>
      </c>
      <c r="BB15" s="492"/>
    </row>
    <row r="16" spans="1:54" ht="12" customHeight="1" x14ac:dyDescent="0.25">
      <c r="A16" s="213" t="s">
        <v>11</v>
      </c>
      <c r="B16" s="438">
        <v>68.3</v>
      </c>
      <c r="C16" s="445">
        <v>61.8</v>
      </c>
      <c r="D16" s="252">
        <v>64.3</v>
      </c>
      <c r="E16" s="58">
        <v>61.4</v>
      </c>
      <c r="F16" s="252">
        <v>60.2</v>
      </c>
      <c r="G16" s="252">
        <v>61.2</v>
      </c>
      <c r="H16" s="252">
        <v>59.4</v>
      </c>
      <c r="I16" s="58">
        <v>59.8</v>
      </c>
      <c r="J16" s="252">
        <v>54.7</v>
      </c>
      <c r="K16" s="58">
        <v>58.233378371829033</v>
      </c>
      <c r="L16" s="252">
        <v>53.086182889731305</v>
      </c>
      <c r="M16" s="58">
        <v>61.31636251243053</v>
      </c>
      <c r="N16" s="471">
        <v>48.717084600329137</v>
      </c>
      <c r="O16" s="438">
        <v>16.2</v>
      </c>
      <c r="P16" s="446">
        <v>13.9</v>
      </c>
      <c r="Q16" s="446">
        <v>12.7</v>
      </c>
      <c r="R16" s="446">
        <v>12</v>
      </c>
      <c r="S16" s="446">
        <v>11.9</v>
      </c>
      <c r="T16" s="446">
        <v>14.4</v>
      </c>
      <c r="U16" s="446">
        <v>13.2</v>
      </c>
      <c r="V16" s="446">
        <v>13.4</v>
      </c>
      <c r="W16" s="447">
        <v>12.6</v>
      </c>
      <c r="X16" s="58">
        <v>12.017322982806677</v>
      </c>
      <c r="Y16" s="439">
        <v>16.467873621706442</v>
      </c>
      <c r="Z16" s="58">
        <v>17.686636476014666</v>
      </c>
      <c r="AA16" s="471">
        <v>18.742753726064617</v>
      </c>
      <c r="AB16" s="438">
        <v>3.8</v>
      </c>
      <c r="AC16" s="446">
        <v>2.9</v>
      </c>
      <c r="AD16" s="446">
        <v>3.3</v>
      </c>
      <c r="AE16" s="446">
        <v>3.1</v>
      </c>
      <c r="AF16" s="446">
        <v>3.1</v>
      </c>
      <c r="AG16" s="446">
        <v>3.9</v>
      </c>
      <c r="AH16" s="446">
        <v>3.7</v>
      </c>
      <c r="AI16" s="446">
        <v>3.7</v>
      </c>
      <c r="AJ16" s="447">
        <v>3.4</v>
      </c>
      <c r="AK16" s="440">
        <v>3.3272582005301241</v>
      </c>
      <c r="AL16" s="440">
        <v>4.5593234789877011</v>
      </c>
      <c r="AM16" s="440">
        <v>4.6735314724004393</v>
      </c>
      <c r="AN16" s="252">
        <v>4.5999999999999996</v>
      </c>
      <c r="AO16" s="252">
        <v>2.2000000000000002</v>
      </c>
      <c r="AP16" s="441">
        <v>3.2</v>
      </c>
      <c r="AQ16" s="58">
        <v>3.2</v>
      </c>
      <c r="AR16" s="442">
        <v>2.2999999999999998</v>
      </c>
      <c r="AS16" s="442">
        <v>1.9</v>
      </c>
      <c r="AT16" s="446">
        <v>2.6</v>
      </c>
      <c r="AU16" s="445">
        <v>2.7</v>
      </c>
      <c r="AV16" s="252">
        <v>4.2</v>
      </c>
      <c r="AW16" s="252">
        <v>2.5</v>
      </c>
      <c r="AX16" s="58">
        <v>2.4645511505558906</v>
      </c>
      <c r="AY16" s="252">
        <v>3.7599138041055413</v>
      </c>
      <c r="AZ16" s="58">
        <v>2.1103793492825988</v>
      </c>
      <c r="BA16" s="252">
        <v>3.7</v>
      </c>
      <c r="BB16" s="492"/>
    </row>
    <row r="17" spans="1:54" ht="12" customHeight="1" x14ac:dyDescent="0.25">
      <c r="A17" s="213" t="s">
        <v>12</v>
      </c>
      <c r="B17" s="438">
        <v>61.2</v>
      </c>
      <c r="C17" s="445">
        <v>61.2</v>
      </c>
      <c r="D17" s="252">
        <v>67.3</v>
      </c>
      <c r="E17" s="58">
        <v>68.2</v>
      </c>
      <c r="F17" s="252">
        <v>65.7</v>
      </c>
      <c r="G17" s="252">
        <v>68.900000000000006</v>
      </c>
      <c r="H17" s="252">
        <v>65.8</v>
      </c>
      <c r="I17" s="58">
        <v>63.5</v>
      </c>
      <c r="J17" s="252">
        <v>66.7</v>
      </c>
      <c r="K17" s="58">
        <v>60.223247835973417</v>
      </c>
      <c r="L17" s="252">
        <v>64.324840111731675</v>
      </c>
      <c r="M17" s="58">
        <v>64.974495469311847</v>
      </c>
      <c r="N17" s="471">
        <v>59.305203586934482</v>
      </c>
      <c r="O17" s="438">
        <v>24.6</v>
      </c>
      <c r="P17" s="446">
        <v>22.4</v>
      </c>
      <c r="Q17" s="446">
        <v>18.899999999999999</v>
      </c>
      <c r="R17" s="446">
        <v>19.100000000000001</v>
      </c>
      <c r="S17" s="446">
        <v>20.100000000000001</v>
      </c>
      <c r="T17" s="446">
        <v>18.8</v>
      </c>
      <c r="U17" s="446">
        <v>20.2</v>
      </c>
      <c r="V17" s="446">
        <v>21.8</v>
      </c>
      <c r="W17" s="447">
        <v>19.5</v>
      </c>
      <c r="X17" s="58">
        <v>22.471923392053217</v>
      </c>
      <c r="Y17" s="439">
        <v>21.104481879337339</v>
      </c>
      <c r="Z17" s="58">
        <v>20.9928375027086</v>
      </c>
      <c r="AA17" s="471">
        <v>19.2788977681058</v>
      </c>
      <c r="AB17" s="438">
        <v>6</v>
      </c>
      <c r="AC17" s="446">
        <v>5.5</v>
      </c>
      <c r="AD17" s="446">
        <v>5.6</v>
      </c>
      <c r="AE17" s="446">
        <v>5.3</v>
      </c>
      <c r="AF17" s="446">
        <v>5.7</v>
      </c>
      <c r="AG17" s="446">
        <v>5.5</v>
      </c>
      <c r="AH17" s="446">
        <v>5.8</v>
      </c>
      <c r="AI17" s="446">
        <v>6.3</v>
      </c>
      <c r="AJ17" s="447">
        <v>5.8</v>
      </c>
      <c r="AK17" s="440">
        <v>6.6354208162730481</v>
      </c>
      <c r="AL17" s="440">
        <v>6.3068220350676496</v>
      </c>
      <c r="AM17" s="440">
        <v>6.0446483494841372</v>
      </c>
      <c r="AN17" s="252">
        <v>5.7</v>
      </c>
      <c r="AO17" s="252">
        <v>1.3</v>
      </c>
      <c r="AP17" s="441">
        <v>2.6</v>
      </c>
      <c r="AQ17" s="58">
        <v>1.9</v>
      </c>
      <c r="AR17" s="442">
        <v>2.2999999999999998</v>
      </c>
      <c r="AS17" s="442">
        <v>2.5</v>
      </c>
      <c r="AT17" s="446">
        <v>2.2999999999999998</v>
      </c>
      <c r="AU17" s="445">
        <v>2.8</v>
      </c>
      <c r="AV17" s="252">
        <v>2.8</v>
      </c>
      <c r="AW17" s="252">
        <v>2.5</v>
      </c>
      <c r="AX17" s="58">
        <v>2.9251055343911916</v>
      </c>
      <c r="AY17" s="252">
        <v>1.7880512619844566</v>
      </c>
      <c r="AZ17" s="58">
        <v>1.6690315034222001</v>
      </c>
      <c r="BA17" s="252">
        <v>4.0999999999999996</v>
      </c>
      <c r="BB17" s="492"/>
    </row>
    <row r="18" spans="1:54" ht="12" customHeight="1" x14ac:dyDescent="0.25">
      <c r="A18" s="213" t="s">
        <v>13</v>
      </c>
      <c r="B18" s="438">
        <v>61</v>
      </c>
      <c r="C18" s="445">
        <v>69.5</v>
      </c>
      <c r="D18" s="252">
        <v>62.5</v>
      </c>
      <c r="E18" s="58">
        <v>66.900000000000006</v>
      </c>
      <c r="F18" s="252">
        <v>71.099999999999994</v>
      </c>
      <c r="G18" s="252">
        <v>59.1</v>
      </c>
      <c r="H18" s="252">
        <v>56.6</v>
      </c>
      <c r="I18" s="58">
        <v>46.9</v>
      </c>
      <c r="J18" s="252">
        <v>45.6</v>
      </c>
      <c r="K18" s="58">
        <v>60.781936681432036</v>
      </c>
      <c r="L18" s="252">
        <v>71.300089772718096</v>
      </c>
      <c r="M18" s="58">
        <v>64.638481414068295</v>
      </c>
      <c r="N18" s="471">
        <v>64.47453465423429</v>
      </c>
      <c r="O18" s="438">
        <v>22.5</v>
      </c>
      <c r="P18" s="446">
        <v>13.5</v>
      </c>
      <c r="Q18" s="446">
        <v>13.8</v>
      </c>
      <c r="R18" s="446">
        <v>15.2</v>
      </c>
      <c r="S18" s="446">
        <v>11.5</v>
      </c>
      <c r="T18" s="446">
        <v>14.6</v>
      </c>
      <c r="U18" s="446">
        <v>17.3</v>
      </c>
      <c r="V18" s="446">
        <v>13</v>
      </c>
      <c r="W18" s="447">
        <v>11.8</v>
      </c>
      <c r="X18" s="58">
        <v>17.633212059716143</v>
      </c>
      <c r="Y18" s="439">
        <v>11.9</v>
      </c>
      <c r="Z18" s="58">
        <v>15.004538546264776</v>
      </c>
      <c r="AA18" s="471">
        <v>13.600727610504078</v>
      </c>
      <c r="AB18" s="438">
        <v>5.6</v>
      </c>
      <c r="AC18" s="446">
        <v>3.4</v>
      </c>
      <c r="AD18" s="446">
        <v>4.3</v>
      </c>
      <c r="AE18" s="446">
        <v>4.3</v>
      </c>
      <c r="AF18" s="446">
        <v>3.1</v>
      </c>
      <c r="AG18" s="446">
        <v>4.2</v>
      </c>
      <c r="AH18" s="446">
        <v>4.7</v>
      </c>
      <c r="AI18" s="446">
        <v>3.7</v>
      </c>
      <c r="AJ18" s="447">
        <v>3.5</v>
      </c>
      <c r="AK18" s="440">
        <v>5.2818780954497555</v>
      </c>
      <c r="AL18" s="440">
        <v>3.6561078210785745</v>
      </c>
      <c r="AM18" s="440">
        <v>3.6119411874852383</v>
      </c>
      <c r="AN18" s="252">
        <v>3.6</v>
      </c>
      <c r="AO18" s="252">
        <v>2.1</v>
      </c>
      <c r="AP18" s="441">
        <v>1.6</v>
      </c>
      <c r="AQ18" s="58">
        <v>1.6</v>
      </c>
      <c r="AR18" s="442">
        <v>1.8</v>
      </c>
      <c r="AS18" s="442">
        <v>1.8</v>
      </c>
      <c r="AT18" s="446">
        <v>4</v>
      </c>
      <c r="AU18" s="445">
        <v>5.8</v>
      </c>
      <c r="AV18" s="252">
        <v>2.4</v>
      </c>
      <c r="AW18" s="252">
        <v>2.8</v>
      </c>
      <c r="AX18" s="58">
        <v>3.0113419626618692</v>
      </c>
      <c r="AY18" s="252">
        <v>3.8099914091394025</v>
      </c>
      <c r="AZ18" s="58">
        <v>5.5040000867970615</v>
      </c>
      <c r="BA18" s="252">
        <v>4.7</v>
      </c>
      <c r="BB18" s="492"/>
    </row>
    <row r="19" spans="1:54" ht="12" customHeight="1" x14ac:dyDescent="0.25">
      <c r="A19" s="213" t="s">
        <v>14</v>
      </c>
      <c r="B19" s="438">
        <v>63.8</v>
      </c>
      <c r="C19" s="445">
        <v>57.9</v>
      </c>
      <c r="D19" s="252">
        <v>55.9</v>
      </c>
      <c r="E19" s="58">
        <v>57.1</v>
      </c>
      <c r="F19" s="252">
        <v>52.7</v>
      </c>
      <c r="G19" s="252">
        <v>53.4</v>
      </c>
      <c r="H19" s="252">
        <v>68.400000000000006</v>
      </c>
      <c r="I19" s="58">
        <v>66.8</v>
      </c>
      <c r="J19" s="252">
        <v>71.7</v>
      </c>
      <c r="K19" s="58">
        <v>71.220723487745204</v>
      </c>
      <c r="L19" s="252">
        <v>69.986755297636122</v>
      </c>
      <c r="M19" s="58">
        <v>71.180965610605654</v>
      </c>
      <c r="N19" s="471">
        <v>71.153483420272863</v>
      </c>
      <c r="O19" s="438">
        <v>19.8</v>
      </c>
      <c r="P19" s="446">
        <v>21.8</v>
      </c>
      <c r="Q19" s="446">
        <v>22.3</v>
      </c>
      <c r="R19" s="446">
        <v>23.9</v>
      </c>
      <c r="S19" s="446">
        <v>23.8</v>
      </c>
      <c r="T19" s="446">
        <v>25.7</v>
      </c>
      <c r="U19" s="446">
        <v>17.2</v>
      </c>
      <c r="V19" s="446">
        <v>16.600000000000001</v>
      </c>
      <c r="W19" s="447">
        <v>14.1</v>
      </c>
      <c r="X19" s="58">
        <v>11.681403368183414</v>
      </c>
      <c r="Y19" s="439">
        <v>13.228306842296481</v>
      </c>
      <c r="Z19" s="58">
        <v>12.237657168526914</v>
      </c>
      <c r="AA19" s="471">
        <v>12.825024471201187</v>
      </c>
      <c r="AB19" s="438">
        <v>4.8</v>
      </c>
      <c r="AC19" s="446">
        <v>4.8</v>
      </c>
      <c r="AD19" s="446">
        <v>6.5</v>
      </c>
      <c r="AE19" s="446">
        <v>6.6</v>
      </c>
      <c r="AF19" s="446">
        <v>6.9</v>
      </c>
      <c r="AG19" s="446">
        <v>7.4</v>
      </c>
      <c r="AH19" s="446">
        <v>5.2</v>
      </c>
      <c r="AI19" s="446">
        <v>5</v>
      </c>
      <c r="AJ19" s="447">
        <v>4.3</v>
      </c>
      <c r="AK19" s="440">
        <v>3.6149859634279053</v>
      </c>
      <c r="AL19" s="440">
        <v>3.825366273552802</v>
      </c>
      <c r="AM19" s="440">
        <v>3.2694265004367047</v>
      </c>
      <c r="AN19" s="252">
        <v>3.6</v>
      </c>
      <c r="AO19" s="252">
        <v>1.6</v>
      </c>
      <c r="AP19" s="441">
        <v>2.2999999999999998</v>
      </c>
      <c r="AQ19" s="58">
        <v>2.7</v>
      </c>
      <c r="AR19" s="442">
        <v>3.1</v>
      </c>
      <c r="AS19" s="442">
        <v>4.3</v>
      </c>
      <c r="AT19" s="446">
        <v>3.6</v>
      </c>
      <c r="AU19" s="445">
        <v>2.4</v>
      </c>
      <c r="AV19" s="252">
        <v>3.9</v>
      </c>
      <c r="AW19" s="252">
        <v>2.2999999999999998</v>
      </c>
      <c r="AX19" s="58">
        <v>3.2754238537987228</v>
      </c>
      <c r="AY19" s="252">
        <v>3.7691411655142217</v>
      </c>
      <c r="AZ19" s="58">
        <v>4.1656388588207953</v>
      </c>
      <c r="BA19" s="252">
        <v>3.6</v>
      </c>
      <c r="BB19" s="492"/>
    </row>
    <row r="20" spans="1:54" ht="12" customHeight="1" x14ac:dyDescent="0.25">
      <c r="A20" s="213" t="s">
        <v>15</v>
      </c>
      <c r="B20" s="438">
        <v>64.2</v>
      </c>
      <c r="C20" s="445">
        <v>71.099999999999994</v>
      </c>
      <c r="D20" s="252">
        <v>72</v>
      </c>
      <c r="E20" s="58">
        <v>82.1</v>
      </c>
      <c r="F20" s="252">
        <v>79</v>
      </c>
      <c r="G20" s="252">
        <v>76.8</v>
      </c>
      <c r="H20" s="252">
        <v>78</v>
      </c>
      <c r="I20" s="58">
        <v>79.2</v>
      </c>
      <c r="J20" s="252">
        <v>77.2</v>
      </c>
      <c r="K20" s="58">
        <v>79.024749171352269</v>
      </c>
      <c r="L20" s="252">
        <v>76.121812355809112</v>
      </c>
      <c r="M20" s="58">
        <v>75.590712442736745</v>
      </c>
      <c r="N20" s="471">
        <v>70.83920502146286</v>
      </c>
      <c r="O20" s="438">
        <v>24.1</v>
      </c>
      <c r="P20" s="446">
        <v>17.5</v>
      </c>
      <c r="Q20" s="446">
        <v>16.3</v>
      </c>
      <c r="R20" s="446">
        <v>9.1999999999999993</v>
      </c>
      <c r="S20" s="446">
        <v>11.8</v>
      </c>
      <c r="T20" s="446">
        <v>11.6</v>
      </c>
      <c r="U20" s="446">
        <v>10.4</v>
      </c>
      <c r="V20" s="446">
        <v>9.9</v>
      </c>
      <c r="W20" s="447">
        <v>9.6</v>
      </c>
      <c r="X20" s="58">
        <v>8.5234212964052638</v>
      </c>
      <c r="Y20" s="439">
        <v>10.380958573793963</v>
      </c>
      <c r="Z20" s="58">
        <v>9.6911708014051516</v>
      </c>
      <c r="AA20" s="471">
        <v>12.071573754111659</v>
      </c>
      <c r="AB20" s="438">
        <v>6</v>
      </c>
      <c r="AC20" s="446">
        <v>4.4000000000000004</v>
      </c>
      <c r="AD20" s="446">
        <v>5.0999999999999996</v>
      </c>
      <c r="AE20" s="446">
        <v>2.6</v>
      </c>
      <c r="AF20" s="446">
        <v>3.3</v>
      </c>
      <c r="AG20" s="446">
        <v>3.3</v>
      </c>
      <c r="AH20" s="446">
        <v>3</v>
      </c>
      <c r="AI20" s="446">
        <v>3</v>
      </c>
      <c r="AJ20" s="447">
        <v>2.8</v>
      </c>
      <c r="AK20" s="440">
        <v>2.2113759593596316</v>
      </c>
      <c r="AL20" s="440">
        <v>3.0970688903290697</v>
      </c>
      <c r="AM20" s="440">
        <v>2.7305201453041774</v>
      </c>
      <c r="AN20" s="252">
        <v>3</v>
      </c>
      <c r="AO20" s="252">
        <v>1</v>
      </c>
      <c r="AP20" s="441">
        <v>1.4</v>
      </c>
      <c r="AQ20" s="58">
        <v>1.6</v>
      </c>
      <c r="AR20" s="442">
        <v>1.3</v>
      </c>
      <c r="AS20" s="442">
        <v>1.9</v>
      </c>
      <c r="AT20" s="446">
        <v>1.7</v>
      </c>
      <c r="AU20" s="445">
        <v>2.2999999999999998</v>
      </c>
      <c r="AV20" s="252">
        <v>2.9</v>
      </c>
      <c r="AW20" s="252">
        <v>3.1</v>
      </c>
      <c r="AX20" s="58">
        <v>3.1323869862096463</v>
      </c>
      <c r="AY20" s="252">
        <v>2.8786751287580419</v>
      </c>
      <c r="AZ20" s="58">
        <v>3.7839569704345197</v>
      </c>
      <c r="BA20" s="252">
        <v>3.8</v>
      </c>
      <c r="BB20" s="492"/>
    </row>
    <row r="21" spans="1:54" ht="12" customHeight="1" x14ac:dyDescent="0.25">
      <c r="A21" s="213" t="s">
        <v>16</v>
      </c>
      <c r="B21" s="438">
        <v>56.4</v>
      </c>
      <c r="C21" s="445">
        <v>54</v>
      </c>
      <c r="D21" s="252">
        <v>47.8</v>
      </c>
      <c r="E21" s="58">
        <v>41.5</v>
      </c>
      <c r="F21" s="252">
        <v>60.1</v>
      </c>
      <c r="G21" s="252">
        <v>58.2</v>
      </c>
      <c r="H21" s="252">
        <v>56.9</v>
      </c>
      <c r="I21" s="58">
        <v>57.9</v>
      </c>
      <c r="J21" s="252">
        <v>64.400000000000006</v>
      </c>
      <c r="K21" s="58">
        <v>63.616303680953465</v>
      </c>
      <c r="L21" s="252">
        <v>63.593203933273877</v>
      </c>
      <c r="M21" s="58">
        <v>63.799729384312123</v>
      </c>
      <c r="N21" s="471">
        <v>62.922939205102359</v>
      </c>
      <c r="O21" s="438">
        <v>26.3</v>
      </c>
      <c r="P21" s="446">
        <v>20.5</v>
      </c>
      <c r="Q21" s="446">
        <v>24</v>
      </c>
      <c r="R21" s="446">
        <v>25.9</v>
      </c>
      <c r="S21" s="446">
        <v>21.3</v>
      </c>
      <c r="T21" s="446">
        <v>20.399999999999999</v>
      </c>
      <c r="U21" s="446">
        <v>20.2</v>
      </c>
      <c r="V21" s="446">
        <v>22</v>
      </c>
      <c r="W21" s="447">
        <v>18.899999999999999</v>
      </c>
      <c r="X21" s="58">
        <v>18.701988488083359</v>
      </c>
      <c r="Y21" s="439">
        <v>19.563871088213659</v>
      </c>
      <c r="Z21" s="58">
        <v>19.973599250737724</v>
      </c>
      <c r="AA21" s="471">
        <v>20.693602970606953</v>
      </c>
      <c r="AB21" s="438">
        <v>6.1</v>
      </c>
      <c r="AC21" s="446">
        <v>4.7</v>
      </c>
      <c r="AD21" s="446">
        <v>6.6</v>
      </c>
      <c r="AE21" s="446">
        <v>7</v>
      </c>
      <c r="AF21" s="446">
        <v>5.8</v>
      </c>
      <c r="AG21" s="446">
        <v>5.6</v>
      </c>
      <c r="AH21" s="446">
        <v>5.7</v>
      </c>
      <c r="AI21" s="446">
        <v>6</v>
      </c>
      <c r="AJ21" s="447">
        <v>5.2</v>
      </c>
      <c r="AK21" s="440">
        <v>4.8790001595627315</v>
      </c>
      <c r="AL21" s="440">
        <v>5.0638469890495879</v>
      </c>
      <c r="AM21" s="440">
        <v>4.2322698797473013</v>
      </c>
      <c r="AN21" s="252">
        <v>4.4699853110923433</v>
      </c>
      <c r="AO21" s="252">
        <v>3</v>
      </c>
      <c r="AP21" s="441">
        <v>3.6</v>
      </c>
      <c r="AQ21" s="58">
        <v>5.9</v>
      </c>
      <c r="AR21" s="442">
        <v>7.7</v>
      </c>
      <c r="AS21" s="442">
        <v>6.1</v>
      </c>
      <c r="AT21" s="446">
        <v>5.4</v>
      </c>
      <c r="AU21" s="445">
        <v>6.3</v>
      </c>
      <c r="AV21" s="252">
        <v>4.9000000000000004</v>
      </c>
      <c r="AW21" s="252">
        <v>4.3</v>
      </c>
      <c r="AX21" s="58">
        <v>4.3883147209489426</v>
      </c>
      <c r="AY21" s="252">
        <v>4.3456038492747346</v>
      </c>
      <c r="AZ21" s="58">
        <v>4.4249524136444132</v>
      </c>
      <c r="BA21" s="252">
        <v>3.9</v>
      </c>
      <c r="BB21" s="492"/>
    </row>
    <row r="22" spans="1:54" ht="12" customHeight="1" x14ac:dyDescent="0.25">
      <c r="A22" s="213" t="s">
        <v>17</v>
      </c>
      <c r="B22" s="438">
        <v>59.9</v>
      </c>
      <c r="C22" s="445">
        <v>68.400000000000006</v>
      </c>
      <c r="D22" s="252">
        <v>60.5</v>
      </c>
      <c r="E22" s="58">
        <v>60.7</v>
      </c>
      <c r="F22" s="252">
        <v>70.7</v>
      </c>
      <c r="G22" s="252">
        <v>65.900000000000006</v>
      </c>
      <c r="H22" s="252">
        <v>65.099999999999994</v>
      </c>
      <c r="I22" s="58">
        <v>73.5</v>
      </c>
      <c r="J22" s="252">
        <v>71.7</v>
      </c>
      <c r="K22" s="58">
        <v>64.789718752832158</v>
      </c>
      <c r="L22" s="252">
        <v>50.647747075572283</v>
      </c>
      <c r="M22" s="58">
        <v>48.21273675168586</v>
      </c>
      <c r="N22" s="471">
        <v>53.035867818312312</v>
      </c>
      <c r="O22" s="438">
        <v>21.6</v>
      </c>
      <c r="P22" s="446">
        <v>14.5</v>
      </c>
      <c r="Q22" s="446">
        <v>19.399999999999999</v>
      </c>
      <c r="R22" s="446">
        <v>16.899999999999999</v>
      </c>
      <c r="S22" s="446">
        <v>15.7</v>
      </c>
      <c r="T22" s="446">
        <v>18.8</v>
      </c>
      <c r="U22" s="446">
        <v>16.5</v>
      </c>
      <c r="V22" s="446">
        <v>14.2</v>
      </c>
      <c r="W22" s="447">
        <v>13.8</v>
      </c>
      <c r="X22" s="58">
        <v>18.888782855794041</v>
      </c>
      <c r="Y22" s="439">
        <v>25.32152595301282</v>
      </c>
      <c r="Z22" s="58">
        <v>21.415855884386936</v>
      </c>
      <c r="AA22" s="471">
        <v>27.290471420373848</v>
      </c>
      <c r="AB22" s="438">
        <v>4.8</v>
      </c>
      <c r="AC22" s="446">
        <v>3.3</v>
      </c>
      <c r="AD22" s="446">
        <v>5.7</v>
      </c>
      <c r="AE22" s="446">
        <v>4.7</v>
      </c>
      <c r="AF22" s="446">
        <v>4</v>
      </c>
      <c r="AG22" s="446">
        <v>4.0999999999999996</v>
      </c>
      <c r="AH22" s="446">
        <v>4.2</v>
      </c>
      <c r="AI22" s="446">
        <v>3.6</v>
      </c>
      <c r="AJ22" s="447">
        <v>3.4</v>
      </c>
      <c r="AK22" s="440">
        <v>5.5835807700198163</v>
      </c>
      <c r="AL22" s="440">
        <v>7.2064912868577968</v>
      </c>
      <c r="AM22" s="440">
        <v>6.1267812325430766</v>
      </c>
      <c r="AN22" s="252">
        <v>6.9820566825736634</v>
      </c>
      <c r="AO22" s="252">
        <v>2.2000000000000002</v>
      </c>
      <c r="AP22" s="441">
        <v>1.7</v>
      </c>
      <c r="AQ22" s="58">
        <v>2.6</v>
      </c>
      <c r="AR22" s="442">
        <v>2.2999999999999998</v>
      </c>
      <c r="AS22" s="442">
        <v>2.2000000000000002</v>
      </c>
      <c r="AT22" s="446">
        <v>2.2999999999999998</v>
      </c>
      <c r="AU22" s="445">
        <v>2.6</v>
      </c>
      <c r="AV22" s="252">
        <v>1.2</v>
      </c>
      <c r="AW22" s="252">
        <v>2.6</v>
      </c>
      <c r="AX22" s="58">
        <v>2.0563036096624856</v>
      </c>
      <c r="AY22" s="252">
        <v>3.3696149967335693</v>
      </c>
      <c r="AZ22" s="58">
        <v>2.7666991518793087</v>
      </c>
      <c r="BA22" s="252">
        <v>2.4</v>
      </c>
      <c r="BB22" s="492"/>
    </row>
    <row r="23" spans="1:54" ht="12" customHeight="1" x14ac:dyDescent="0.25">
      <c r="A23" s="213" t="s">
        <v>18</v>
      </c>
      <c r="B23" s="438">
        <v>62.9</v>
      </c>
      <c r="C23" s="445">
        <v>59.4</v>
      </c>
      <c r="D23" s="252">
        <v>60.3</v>
      </c>
      <c r="E23" s="58">
        <v>49.5</v>
      </c>
      <c r="F23" s="252">
        <v>51</v>
      </c>
      <c r="G23" s="252">
        <v>56.5</v>
      </c>
      <c r="H23" s="252">
        <v>52.9</v>
      </c>
      <c r="I23" s="58">
        <v>63.8</v>
      </c>
      <c r="J23" s="252">
        <v>56.3</v>
      </c>
      <c r="K23" s="58">
        <v>60.013679617334645</v>
      </c>
      <c r="L23" s="252">
        <v>59.022048132157209</v>
      </c>
      <c r="M23" s="58">
        <v>49.754240373699226</v>
      </c>
      <c r="N23" s="471">
        <v>62.293911124684264</v>
      </c>
      <c r="O23" s="438">
        <v>19.8</v>
      </c>
      <c r="P23" s="446">
        <v>22.1</v>
      </c>
      <c r="Q23" s="446">
        <v>18.100000000000001</v>
      </c>
      <c r="R23" s="446">
        <v>23.1</v>
      </c>
      <c r="S23" s="446">
        <v>17.600000000000001</v>
      </c>
      <c r="T23" s="446">
        <v>17.600000000000001</v>
      </c>
      <c r="U23" s="446">
        <v>18.399999999999999</v>
      </c>
      <c r="V23" s="446">
        <v>18.100000000000001</v>
      </c>
      <c r="W23" s="447">
        <v>21.5</v>
      </c>
      <c r="X23" s="58">
        <v>21.118686247442195</v>
      </c>
      <c r="Y23" s="439">
        <v>23.01725985788136</v>
      </c>
      <c r="Z23" s="58">
        <v>20.139715837586095</v>
      </c>
      <c r="AA23" s="471">
        <v>20.609955779163851</v>
      </c>
      <c r="AB23" s="438">
        <v>4.8</v>
      </c>
      <c r="AC23" s="446">
        <v>5.2</v>
      </c>
      <c r="AD23" s="446">
        <v>5.4</v>
      </c>
      <c r="AE23" s="446">
        <v>5.8</v>
      </c>
      <c r="AF23" s="446">
        <v>4.9000000000000004</v>
      </c>
      <c r="AG23" s="446">
        <v>5</v>
      </c>
      <c r="AH23" s="446">
        <v>4.5999999999999996</v>
      </c>
      <c r="AI23" s="446">
        <v>4.3</v>
      </c>
      <c r="AJ23" s="447">
        <v>5.8</v>
      </c>
      <c r="AK23" s="440">
        <v>6.0138703838839378</v>
      </c>
      <c r="AL23" s="440">
        <v>6.6164061067982756</v>
      </c>
      <c r="AM23" s="440">
        <v>5.4081345018731772</v>
      </c>
      <c r="AN23" s="252">
        <v>5.6449094747711266</v>
      </c>
      <c r="AO23" s="252">
        <v>2</v>
      </c>
      <c r="AP23" s="441">
        <v>3.6</v>
      </c>
      <c r="AQ23" s="58">
        <v>2.7</v>
      </c>
      <c r="AR23" s="442">
        <v>2.7</v>
      </c>
      <c r="AS23" s="442">
        <v>2.9</v>
      </c>
      <c r="AT23" s="446">
        <v>4.3</v>
      </c>
      <c r="AU23" s="445">
        <v>4.2</v>
      </c>
      <c r="AV23" s="252">
        <v>3.9</v>
      </c>
      <c r="AW23" s="252">
        <v>3</v>
      </c>
      <c r="AX23" s="58">
        <v>2.4145971328514424</v>
      </c>
      <c r="AY23" s="252">
        <v>2.8321742604019895</v>
      </c>
      <c r="AZ23" s="58">
        <v>2.5462435449449536</v>
      </c>
      <c r="BA23" s="252">
        <v>3.3052099543207771</v>
      </c>
      <c r="BB23" s="492"/>
    </row>
    <row r="24" spans="1:54" ht="12" customHeight="1" x14ac:dyDescent="0.25">
      <c r="A24" s="213" t="s">
        <v>19</v>
      </c>
      <c r="B24" s="438">
        <v>49.9</v>
      </c>
      <c r="C24" s="445">
        <v>47.3</v>
      </c>
      <c r="D24" s="252">
        <v>46.6</v>
      </c>
      <c r="E24" s="58">
        <v>40.1</v>
      </c>
      <c r="F24" s="252">
        <v>46.8</v>
      </c>
      <c r="G24" s="252">
        <v>52.9</v>
      </c>
      <c r="H24" s="252">
        <v>60.2</v>
      </c>
      <c r="I24" s="58">
        <v>48.8</v>
      </c>
      <c r="J24" s="252">
        <v>51.4</v>
      </c>
      <c r="K24" s="222">
        <v>52.152251392916284</v>
      </c>
      <c r="L24" s="439">
        <v>46.888857398552027</v>
      </c>
      <c r="M24" s="58">
        <v>50.973920609064848</v>
      </c>
      <c r="N24" s="471">
        <v>53.40829627025424</v>
      </c>
      <c r="O24" s="438">
        <v>21.2</v>
      </c>
      <c r="P24" s="446">
        <v>22</v>
      </c>
      <c r="Q24" s="446">
        <v>21.1</v>
      </c>
      <c r="R24" s="446">
        <v>21.7</v>
      </c>
      <c r="S24" s="446">
        <v>22.1</v>
      </c>
      <c r="T24" s="446">
        <v>24.2</v>
      </c>
      <c r="U24" s="446">
        <v>17.3</v>
      </c>
      <c r="V24" s="446">
        <v>16.7</v>
      </c>
      <c r="W24" s="447">
        <v>21.2</v>
      </c>
      <c r="X24" s="58">
        <v>20.396938822375951</v>
      </c>
      <c r="Y24" s="439">
        <v>25.6314769607974</v>
      </c>
      <c r="Z24" s="58">
        <v>19.229550227293558</v>
      </c>
      <c r="AA24" s="471">
        <v>19.017963680135793</v>
      </c>
      <c r="AB24" s="438">
        <v>4.9000000000000004</v>
      </c>
      <c r="AC24" s="446">
        <v>3.9</v>
      </c>
      <c r="AD24" s="446">
        <v>4.5</v>
      </c>
      <c r="AE24" s="446">
        <v>4.8</v>
      </c>
      <c r="AF24" s="446">
        <v>4.8</v>
      </c>
      <c r="AG24" s="446">
        <v>5.4</v>
      </c>
      <c r="AH24" s="446">
        <v>4.4000000000000004</v>
      </c>
      <c r="AI24" s="446">
        <v>4</v>
      </c>
      <c r="AJ24" s="447">
        <v>5</v>
      </c>
      <c r="AK24" s="440">
        <v>4.8866716772144487</v>
      </c>
      <c r="AL24" s="440">
        <v>4.4091708604066993</v>
      </c>
      <c r="AM24" s="440">
        <v>4.6800363890830736</v>
      </c>
      <c r="AN24" s="252">
        <v>4.614149267110049</v>
      </c>
      <c r="AO24" s="252">
        <v>2.6</v>
      </c>
      <c r="AP24" s="441">
        <v>2.8</v>
      </c>
      <c r="AQ24" s="58">
        <v>2.2000000000000002</v>
      </c>
      <c r="AR24" s="442">
        <v>2.7</v>
      </c>
      <c r="AS24" s="442">
        <v>2.7</v>
      </c>
      <c r="AT24" s="446">
        <v>2.9</v>
      </c>
      <c r="AU24" s="445">
        <v>2.1</v>
      </c>
      <c r="AV24" s="252">
        <v>1.6</v>
      </c>
      <c r="AW24" s="252">
        <v>2.2000000000000002</v>
      </c>
      <c r="AX24" s="58">
        <v>2.1016995825139206</v>
      </c>
      <c r="AY24" s="252">
        <v>1.7965643001272253</v>
      </c>
      <c r="AZ24" s="58">
        <v>1.8780164459470787</v>
      </c>
      <c r="BA24" s="252">
        <v>2.1435464110396389</v>
      </c>
      <c r="BB24" s="492"/>
    </row>
    <row r="25" spans="1:54" s="25" customFormat="1" ht="21.75" customHeight="1" x14ac:dyDescent="0.25">
      <c r="A25" s="427" t="s">
        <v>144</v>
      </c>
      <c r="B25" s="434">
        <v>54.7</v>
      </c>
      <c r="C25" s="448">
        <v>61</v>
      </c>
      <c r="D25" s="251">
        <v>59.9</v>
      </c>
      <c r="E25" s="109">
        <v>53.9</v>
      </c>
      <c r="F25" s="251">
        <v>55.5</v>
      </c>
      <c r="G25" s="251">
        <v>58.8</v>
      </c>
      <c r="H25" s="251">
        <v>59.1</v>
      </c>
      <c r="I25" s="109">
        <v>58.7</v>
      </c>
      <c r="J25" s="251">
        <v>57</v>
      </c>
      <c r="K25" s="109">
        <v>56.859323422263905</v>
      </c>
      <c r="L25" s="251">
        <v>52.256134950987651</v>
      </c>
      <c r="M25" s="109">
        <v>55.394162425258507</v>
      </c>
      <c r="N25" s="480">
        <v>48.696899922658666</v>
      </c>
      <c r="O25" s="434">
        <v>18.600000000000001</v>
      </c>
      <c r="P25" s="449">
        <v>18.7</v>
      </c>
      <c r="Q25" s="449">
        <v>17.3</v>
      </c>
      <c r="R25" s="449">
        <v>16.8</v>
      </c>
      <c r="S25" s="449">
        <v>16.100000000000001</v>
      </c>
      <c r="T25" s="449">
        <v>17.399999999999999</v>
      </c>
      <c r="U25" s="449">
        <v>17</v>
      </c>
      <c r="V25" s="449">
        <v>19.5</v>
      </c>
      <c r="W25" s="450">
        <v>20.2</v>
      </c>
      <c r="X25" s="109">
        <v>21.6871274207213</v>
      </c>
      <c r="Y25" s="415">
        <v>23.408363477182785</v>
      </c>
      <c r="Z25" s="109">
        <v>21.004595995029316</v>
      </c>
      <c r="AA25" s="480">
        <v>21.563511355196074</v>
      </c>
      <c r="AB25" s="434">
        <v>4.8</v>
      </c>
      <c r="AC25" s="449">
        <v>4</v>
      </c>
      <c r="AD25" s="449">
        <v>4.4000000000000004</v>
      </c>
      <c r="AE25" s="449">
        <v>4.3</v>
      </c>
      <c r="AF25" s="449">
        <v>4.0999999999999996</v>
      </c>
      <c r="AG25" s="449">
        <v>4.5</v>
      </c>
      <c r="AH25" s="449">
        <v>4.5</v>
      </c>
      <c r="AI25" s="449">
        <v>5.2</v>
      </c>
      <c r="AJ25" s="450">
        <v>5.3</v>
      </c>
      <c r="AK25" s="437">
        <v>5.6699532949986517</v>
      </c>
      <c r="AL25" s="437">
        <v>6.1869187367690746</v>
      </c>
      <c r="AM25" s="437">
        <v>5.5636954278955537</v>
      </c>
      <c r="AN25" s="251">
        <v>5.4646784436298574</v>
      </c>
      <c r="AO25" s="251">
        <v>2.2999999999999998</v>
      </c>
      <c r="AP25" s="435">
        <v>3</v>
      </c>
      <c r="AQ25" s="109">
        <v>2.6</v>
      </c>
      <c r="AR25" s="436">
        <v>4</v>
      </c>
      <c r="AS25" s="436">
        <v>3.2</v>
      </c>
      <c r="AT25" s="449">
        <v>3.5</v>
      </c>
      <c r="AU25" s="448">
        <v>2.9</v>
      </c>
      <c r="AV25" s="251">
        <v>3.4</v>
      </c>
      <c r="AW25" s="251">
        <v>3.3</v>
      </c>
      <c r="AX25" s="109">
        <v>2.7202346417154999</v>
      </c>
      <c r="AY25" s="251">
        <v>3.0276082379953766</v>
      </c>
      <c r="AZ25" s="109">
        <v>3.3182927629434804</v>
      </c>
      <c r="BA25" s="251">
        <v>2.7735476831996229</v>
      </c>
      <c r="BB25" s="490"/>
    </row>
    <row r="26" spans="1:54" ht="12" customHeight="1" x14ac:dyDescent="0.25">
      <c r="A26" s="213" t="s">
        <v>20</v>
      </c>
      <c r="B26" s="438">
        <v>57.1</v>
      </c>
      <c r="C26" s="445">
        <v>54.2</v>
      </c>
      <c r="D26" s="252">
        <v>56.4</v>
      </c>
      <c r="E26" s="58">
        <v>52.9</v>
      </c>
      <c r="F26" s="252">
        <v>48.9</v>
      </c>
      <c r="G26" s="252">
        <v>59.1</v>
      </c>
      <c r="H26" s="252">
        <v>51.1</v>
      </c>
      <c r="I26" s="58">
        <v>50.3</v>
      </c>
      <c r="J26" s="252">
        <v>59.8</v>
      </c>
      <c r="K26" s="58">
        <v>63.891969431822126</v>
      </c>
      <c r="L26" s="252">
        <v>63.91483914158497</v>
      </c>
      <c r="M26" s="58">
        <v>57.927068111676427</v>
      </c>
      <c r="N26" s="471">
        <v>55.028727320631077</v>
      </c>
      <c r="O26" s="438">
        <v>27.2</v>
      </c>
      <c r="P26" s="446">
        <v>24.8</v>
      </c>
      <c r="Q26" s="446">
        <v>22.9</v>
      </c>
      <c r="R26" s="446">
        <v>18.7</v>
      </c>
      <c r="S26" s="446">
        <v>25.2</v>
      </c>
      <c r="T26" s="446">
        <v>18.899999999999999</v>
      </c>
      <c r="U26" s="446">
        <v>21</v>
      </c>
      <c r="V26" s="446">
        <v>20.5</v>
      </c>
      <c r="W26" s="447">
        <v>15.2</v>
      </c>
      <c r="X26" s="58">
        <v>15.562242300216164</v>
      </c>
      <c r="Y26" s="439">
        <v>16.226190512573456</v>
      </c>
      <c r="Z26" s="58">
        <v>19.123739088414162</v>
      </c>
      <c r="AA26" s="471">
        <v>23.6</v>
      </c>
      <c r="AB26" s="438">
        <v>6</v>
      </c>
      <c r="AC26" s="446">
        <v>5.6</v>
      </c>
      <c r="AD26" s="446">
        <v>6.7</v>
      </c>
      <c r="AE26" s="446">
        <v>5.2</v>
      </c>
      <c r="AF26" s="446">
        <v>6.8</v>
      </c>
      <c r="AG26" s="446">
        <v>5.2</v>
      </c>
      <c r="AH26" s="446">
        <v>5.4</v>
      </c>
      <c r="AI26" s="446">
        <v>5.7</v>
      </c>
      <c r="AJ26" s="447">
        <v>3.9</v>
      </c>
      <c r="AK26" s="440">
        <v>3.9405977602687381</v>
      </c>
      <c r="AL26" s="440">
        <v>4.1456829065167069</v>
      </c>
      <c r="AM26" s="440">
        <v>4.3925787030522283</v>
      </c>
      <c r="AN26" s="252">
        <v>5.2355962057999061</v>
      </c>
      <c r="AO26" s="252">
        <v>3</v>
      </c>
      <c r="AP26" s="441">
        <v>3.4</v>
      </c>
      <c r="AQ26" s="58">
        <v>3.3</v>
      </c>
      <c r="AR26" s="442">
        <v>3</v>
      </c>
      <c r="AS26" s="442">
        <v>4.4000000000000004</v>
      </c>
      <c r="AT26" s="446">
        <v>3</v>
      </c>
      <c r="AU26" s="445">
        <v>3.7</v>
      </c>
      <c r="AV26" s="252">
        <v>3.4</v>
      </c>
      <c r="AW26" s="252">
        <v>2.5</v>
      </c>
      <c r="AX26" s="58">
        <v>2.4703377330452403</v>
      </c>
      <c r="AY26" s="252">
        <v>2.874614777937027</v>
      </c>
      <c r="AZ26" s="58">
        <v>3.3066852942009639</v>
      </c>
      <c r="BA26" s="252">
        <v>4.4097121170267828</v>
      </c>
      <c r="BB26" s="492"/>
    </row>
    <row r="27" spans="1:54" ht="12" customHeight="1" x14ac:dyDescent="0.25">
      <c r="A27" s="213" t="s">
        <v>21</v>
      </c>
      <c r="B27" s="438">
        <v>44.8</v>
      </c>
      <c r="C27" s="445">
        <v>52</v>
      </c>
      <c r="D27" s="252">
        <v>52.1</v>
      </c>
      <c r="E27" s="58">
        <v>44.2</v>
      </c>
      <c r="F27" s="252">
        <v>52.9</v>
      </c>
      <c r="G27" s="252">
        <v>57.1</v>
      </c>
      <c r="H27" s="252">
        <v>58.8</v>
      </c>
      <c r="I27" s="58">
        <v>57.5</v>
      </c>
      <c r="J27" s="252">
        <v>57.8</v>
      </c>
      <c r="K27" s="58">
        <v>52.729716406338071</v>
      </c>
      <c r="L27" s="252">
        <v>54.150208809556901</v>
      </c>
      <c r="M27" s="58">
        <v>54.696114954595743</v>
      </c>
      <c r="N27" s="471">
        <v>55.911958966462727</v>
      </c>
      <c r="O27" s="438">
        <v>16.3</v>
      </c>
      <c r="P27" s="446">
        <v>22.6</v>
      </c>
      <c r="Q27" s="446">
        <v>23.9</v>
      </c>
      <c r="R27" s="446">
        <v>24.3</v>
      </c>
      <c r="S27" s="446">
        <v>21.8</v>
      </c>
      <c r="T27" s="446">
        <v>23.6</v>
      </c>
      <c r="U27" s="446">
        <v>22</v>
      </c>
      <c r="V27" s="446">
        <v>21.8</v>
      </c>
      <c r="W27" s="447">
        <v>22.6</v>
      </c>
      <c r="X27" s="58">
        <v>26.416530776830381</v>
      </c>
      <c r="Y27" s="439">
        <v>21.723284607403851</v>
      </c>
      <c r="Z27" s="58">
        <v>26.208924647039851</v>
      </c>
      <c r="AA27" s="471">
        <v>25.3</v>
      </c>
      <c r="AB27" s="438">
        <v>3.7</v>
      </c>
      <c r="AC27" s="446">
        <v>4.9000000000000004</v>
      </c>
      <c r="AD27" s="446">
        <v>6.3</v>
      </c>
      <c r="AE27" s="446">
        <v>6.4</v>
      </c>
      <c r="AF27" s="446">
        <v>6</v>
      </c>
      <c r="AG27" s="446">
        <v>6.3</v>
      </c>
      <c r="AH27" s="446">
        <v>6.2</v>
      </c>
      <c r="AI27" s="446">
        <v>6.1</v>
      </c>
      <c r="AJ27" s="447">
        <v>6.3</v>
      </c>
      <c r="AK27" s="440">
        <v>7.4168722853413014</v>
      </c>
      <c r="AL27" s="440">
        <v>6.1937127613338063</v>
      </c>
      <c r="AM27" s="440">
        <v>7.1282393496117962</v>
      </c>
      <c r="AN27" s="252">
        <v>6.2773004880931698</v>
      </c>
      <c r="AO27" s="252">
        <v>1.4</v>
      </c>
      <c r="AP27" s="441">
        <v>5.7</v>
      </c>
      <c r="AQ27" s="58">
        <v>4.7</v>
      </c>
      <c r="AR27" s="442">
        <v>2.8</v>
      </c>
      <c r="AS27" s="442">
        <v>2.5</v>
      </c>
      <c r="AT27" s="446">
        <v>1.9</v>
      </c>
      <c r="AU27" s="445">
        <v>1.9</v>
      </c>
      <c r="AV27" s="252">
        <v>3.1</v>
      </c>
      <c r="AW27" s="252">
        <v>2</v>
      </c>
      <c r="AX27" s="58">
        <v>2.5051240223419939</v>
      </c>
      <c r="AY27" s="252">
        <v>1.7952356704524823</v>
      </c>
      <c r="AZ27" s="58">
        <v>2.5611025443027562</v>
      </c>
      <c r="BA27" s="252">
        <v>3.0232269367673377</v>
      </c>
      <c r="BB27" s="492"/>
    </row>
    <row r="28" spans="1:54" ht="12" customHeight="1" x14ac:dyDescent="0.25">
      <c r="A28" s="213" t="s">
        <v>22</v>
      </c>
      <c r="B28" s="438">
        <v>57.5</v>
      </c>
      <c r="C28" s="445">
        <v>55.1</v>
      </c>
      <c r="D28" s="252">
        <v>53.4</v>
      </c>
      <c r="E28" s="58">
        <v>54.4</v>
      </c>
      <c r="F28" s="252">
        <v>53.7</v>
      </c>
      <c r="G28" s="252">
        <v>50.7</v>
      </c>
      <c r="H28" s="252">
        <v>59.4</v>
      </c>
      <c r="I28" s="58">
        <v>58.1</v>
      </c>
      <c r="J28" s="252">
        <v>59.3</v>
      </c>
      <c r="K28" s="58">
        <v>51.422798541422488</v>
      </c>
      <c r="L28" s="252">
        <v>53.761462320544517</v>
      </c>
      <c r="M28" s="58">
        <v>57.693157340329712</v>
      </c>
      <c r="N28" s="471">
        <v>53.17845473505843</v>
      </c>
      <c r="O28" s="438">
        <v>21.6</v>
      </c>
      <c r="P28" s="446">
        <v>22.7</v>
      </c>
      <c r="Q28" s="446">
        <v>23.2</v>
      </c>
      <c r="R28" s="446">
        <v>18.5</v>
      </c>
      <c r="S28" s="446">
        <v>18.399999999999999</v>
      </c>
      <c r="T28" s="446">
        <v>24.1</v>
      </c>
      <c r="U28" s="446">
        <v>20.9</v>
      </c>
      <c r="V28" s="446">
        <v>22.7</v>
      </c>
      <c r="W28" s="447">
        <v>20.2</v>
      </c>
      <c r="X28" s="58">
        <v>26.284832816371857</v>
      </c>
      <c r="Y28" s="439">
        <v>24.726509004487987</v>
      </c>
      <c r="Z28" s="58">
        <v>24.248700458745688</v>
      </c>
      <c r="AA28" s="471">
        <v>25.1</v>
      </c>
      <c r="AB28" s="438">
        <v>5.0999999999999996</v>
      </c>
      <c r="AC28" s="446">
        <v>4.8</v>
      </c>
      <c r="AD28" s="446">
        <v>6.5</v>
      </c>
      <c r="AE28" s="446">
        <v>5</v>
      </c>
      <c r="AF28" s="446">
        <v>4.7</v>
      </c>
      <c r="AG28" s="446">
        <v>6.2</v>
      </c>
      <c r="AH28" s="446">
        <v>5.6</v>
      </c>
      <c r="AI28" s="446">
        <v>6.2</v>
      </c>
      <c r="AJ28" s="447">
        <v>5.9</v>
      </c>
      <c r="AK28" s="440">
        <v>7.6590596932477535</v>
      </c>
      <c r="AL28" s="440">
        <v>7.5183236414022288</v>
      </c>
      <c r="AM28" s="440">
        <v>6.0443574510837212</v>
      </c>
      <c r="AN28" s="252">
        <v>5.5407042663627193</v>
      </c>
      <c r="AO28" s="252">
        <v>1.6</v>
      </c>
      <c r="AP28" s="441">
        <v>2.2999999999999998</v>
      </c>
      <c r="AQ28" s="58">
        <v>3.6</v>
      </c>
      <c r="AR28" s="442">
        <v>3.2</v>
      </c>
      <c r="AS28" s="442">
        <v>2.6</v>
      </c>
      <c r="AT28" s="446">
        <v>3</v>
      </c>
      <c r="AU28" s="445">
        <v>2.9</v>
      </c>
      <c r="AV28" s="252">
        <v>3.1</v>
      </c>
      <c r="AW28" s="252">
        <v>2.7</v>
      </c>
      <c r="AX28" s="58">
        <v>4.0903253367339296</v>
      </c>
      <c r="AY28" s="252">
        <v>2.9821034677783622</v>
      </c>
      <c r="AZ28" s="58">
        <v>2.5565241127258846</v>
      </c>
      <c r="BA28" s="252">
        <v>4.6664301385246709</v>
      </c>
      <c r="BB28" s="492"/>
    </row>
    <row r="29" spans="1:54" ht="12" customHeight="1" x14ac:dyDescent="0.25">
      <c r="A29" s="428" t="s">
        <v>58</v>
      </c>
      <c r="B29" s="438"/>
      <c r="C29" s="445"/>
      <c r="D29" s="252"/>
      <c r="E29" s="58"/>
      <c r="F29" s="252"/>
      <c r="G29" s="252"/>
      <c r="H29" s="252"/>
      <c r="I29" s="58"/>
      <c r="J29" s="252"/>
      <c r="K29" s="58"/>
      <c r="L29" s="252"/>
      <c r="M29" s="58"/>
      <c r="N29" s="471"/>
      <c r="O29" s="438"/>
      <c r="P29" s="446"/>
      <c r="Q29" s="446"/>
      <c r="R29" s="446"/>
      <c r="S29" s="446"/>
      <c r="T29" s="446"/>
      <c r="U29" s="446"/>
      <c r="V29" s="446"/>
      <c r="W29" s="447"/>
      <c r="X29" s="58"/>
      <c r="Y29" s="439"/>
      <c r="Z29" s="58"/>
      <c r="AA29" s="471"/>
      <c r="AB29" s="438"/>
      <c r="AC29" s="446"/>
      <c r="AD29" s="446"/>
      <c r="AE29" s="446"/>
      <c r="AF29" s="446"/>
      <c r="AG29" s="446"/>
      <c r="AH29" s="446"/>
      <c r="AI29" s="446"/>
      <c r="AJ29" s="447"/>
      <c r="AK29" s="440"/>
      <c r="AL29" s="440"/>
      <c r="AM29" s="440"/>
      <c r="AN29" s="252"/>
      <c r="AO29" s="252"/>
      <c r="AP29" s="441"/>
      <c r="AQ29" s="58"/>
      <c r="AR29" s="442"/>
      <c r="AS29" s="442"/>
      <c r="AT29" s="446"/>
      <c r="AU29" s="445"/>
      <c r="AV29" s="443"/>
      <c r="AW29" s="443"/>
      <c r="AX29" s="444"/>
      <c r="AY29" s="443"/>
      <c r="AZ29" s="58"/>
      <c r="BA29" s="252"/>
      <c r="BB29" s="492"/>
    </row>
    <row r="30" spans="1:54" ht="12" customHeight="1" x14ac:dyDescent="0.25">
      <c r="A30" s="429" t="s">
        <v>92</v>
      </c>
      <c r="B30" s="438">
        <v>68.599999999999994</v>
      </c>
      <c r="C30" s="445">
        <v>53.6</v>
      </c>
      <c r="D30" s="252">
        <v>49.8</v>
      </c>
      <c r="E30" s="58">
        <v>54.9</v>
      </c>
      <c r="F30" s="252">
        <v>56.9</v>
      </c>
      <c r="G30" s="252">
        <v>56.8</v>
      </c>
      <c r="H30" s="252">
        <v>70.099999999999994</v>
      </c>
      <c r="I30" s="58">
        <v>66.400000000000006</v>
      </c>
      <c r="J30" s="252">
        <v>68.3</v>
      </c>
      <c r="K30" s="58">
        <v>59.077719928452332</v>
      </c>
      <c r="L30" s="252">
        <v>43.071455244021358</v>
      </c>
      <c r="M30" s="58">
        <v>37.96792233078272</v>
      </c>
      <c r="N30" s="471" t="s">
        <v>160</v>
      </c>
      <c r="O30" s="438">
        <v>12.9</v>
      </c>
      <c r="P30" s="446">
        <v>21.1</v>
      </c>
      <c r="Q30" s="446">
        <v>24.6</v>
      </c>
      <c r="R30" s="446">
        <v>24.7</v>
      </c>
      <c r="S30" s="446">
        <v>24.5</v>
      </c>
      <c r="T30" s="446">
        <v>25.1</v>
      </c>
      <c r="U30" s="446">
        <v>17.3</v>
      </c>
      <c r="V30" s="446">
        <v>19.399999999999999</v>
      </c>
      <c r="W30" s="447">
        <v>19</v>
      </c>
      <c r="X30" s="58">
        <v>23.5</v>
      </c>
      <c r="Y30" s="439">
        <v>29.6</v>
      </c>
      <c r="Z30" s="58">
        <v>38.118832092786391</v>
      </c>
      <c r="AA30" s="471" t="s">
        <v>39</v>
      </c>
      <c r="AB30" s="438">
        <v>3</v>
      </c>
      <c r="AC30" s="446">
        <v>4.3</v>
      </c>
      <c r="AD30" s="446">
        <v>6.5</v>
      </c>
      <c r="AE30" s="446">
        <v>6.6</v>
      </c>
      <c r="AF30" s="446">
        <v>6.1</v>
      </c>
      <c r="AG30" s="446">
        <v>6.4</v>
      </c>
      <c r="AH30" s="446">
        <v>5.0999999999999996</v>
      </c>
      <c r="AI30" s="446">
        <v>5.6</v>
      </c>
      <c r="AJ30" s="447">
        <v>4.9000000000000004</v>
      </c>
      <c r="AK30" s="440">
        <v>6.9022399635322333</v>
      </c>
      <c r="AL30" s="440">
        <v>9.0412403792210654</v>
      </c>
      <c r="AM30" s="440">
        <v>11.252991022931221</v>
      </c>
      <c r="AN30" s="252" t="s">
        <v>160</v>
      </c>
      <c r="AO30" s="252">
        <v>1.6</v>
      </c>
      <c r="AP30" s="441">
        <v>1.8</v>
      </c>
      <c r="AQ30" s="58">
        <v>7.5</v>
      </c>
      <c r="AR30" s="442">
        <v>3.1</v>
      </c>
      <c r="AS30" s="442">
        <v>2.2999999999999998</v>
      </c>
      <c r="AT30" s="446">
        <v>2.4</v>
      </c>
      <c r="AU30" s="445">
        <v>1.6</v>
      </c>
      <c r="AV30" s="252">
        <v>2.1</v>
      </c>
      <c r="AW30" s="252">
        <v>2</v>
      </c>
      <c r="AX30" s="58">
        <v>3.7343553967783536</v>
      </c>
      <c r="AY30" s="252">
        <v>4.8888157394085159</v>
      </c>
      <c r="AZ30" s="58">
        <v>4.2554732202413552</v>
      </c>
      <c r="BA30" s="252" t="s">
        <v>160</v>
      </c>
      <c r="BB30" s="492"/>
    </row>
    <row r="31" spans="1:54" ht="20.25" x14ac:dyDescent="0.25">
      <c r="A31" s="429" t="s">
        <v>152</v>
      </c>
      <c r="B31" s="438"/>
      <c r="C31" s="445"/>
      <c r="D31" s="252"/>
      <c r="E31" s="58">
        <v>54.3</v>
      </c>
      <c r="F31" s="252">
        <v>53.2</v>
      </c>
      <c r="G31" s="252">
        <v>49</v>
      </c>
      <c r="H31" s="252">
        <v>54.4</v>
      </c>
      <c r="I31" s="58">
        <v>53.5</v>
      </c>
      <c r="J31" s="252">
        <v>55.5</v>
      </c>
      <c r="K31" s="58">
        <v>47.005345429392626</v>
      </c>
      <c r="L31" s="252">
        <v>56.653389464092832</v>
      </c>
      <c r="M31" s="58">
        <v>60.816293326703075</v>
      </c>
      <c r="N31" s="471" t="s">
        <v>160</v>
      </c>
      <c r="O31" s="438"/>
      <c r="P31" s="446"/>
      <c r="Q31" s="446"/>
      <c r="R31" s="446">
        <v>17.2</v>
      </c>
      <c r="S31" s="446">
        <v>17.399999999999999</v>
      </c>
      <c r="T31" s="446">
        <v>23.8</v>
      </c>
      <c r="U31" s="446">
        <v>22.6</v>
      </c>
      <c r="V31" s="446">
        <v>24.5</v>
      </c>
      <c r="W31" s="447">
        <v>20.7</v>
      </c>
      <c r="X31" s="58">
        <v>27.9</v>
      </c>
      <c r="Y31" s="439">
        <v>23.4</v>
      </c>
      <c r="Z31" s="58">
        <v>22.052614722832161</v>
      </c>
      <c r="AA31" s="471" t="s">
        <v>160</v>
      </c>
      <c r="AB31" s="438"/>
      <c r="AC31" s="446"/>
      <c r="AD31" s="446"/>
      <c r="AE31" s="446">
        <v>4.7</v>
      </c>
      <c r="AF31" s="446">
        <v>4.4000000000000004</v>
      </c>
      <c r="AG31" s="446">
        <v>6.1</v>
      </c>
      <c r="AH31" s="446">
        <v>5.9</v>
      </c>
      <c r="AI31" s="446">
        <v>6.5</v>
      </c>
      <c r="AJ31" s="447">
        <v>6.4</v>
      </c>
      <c r="AK31" s="440">
        <v>8.0958003860969381</v>
      </c>
      <c r="AL31" s="440">
        <v>7.1063347418687082</v>
      </c>
      <c r="AM31" s="440">
        <v>5.2196640600951714</v>
      </c>
      <c r="AN31" s="252" t="s">
        <v>160</v>
      </c>
      <c r="AO31" s="252"/>
      <c r="AP31" s="441"/>
      <c r="AQ31" s="58"/>
      <c r="AR31" s="442">
        <v>3.2</v>
      </c>
      <c r="AS31" s="442">
        <v>2.6</v>
      </c>
      <c r="AT31" s="446">
        <v>3.2</v>
      </c>
      <c r="AU31" s="445">
        <v>3.5</v>
      </c>
      <c r="AV31" s="252">
        <v>3.6</v>
      </c>
      <c r="AW31" s="252">
        <v>3.1</v>
      </c>
      <c r="AX31" s="58">
        <v>4.2957461947077533</v>
      </c>
      <c r="AY31" s="252">
        <v>2.4662878154787857</v>
      </c>
      <c r="AZ31" s="58">
        <v>2.2875260960163053</v>
      </c>
      <c r="BA31" s="252" t="s">
        <v>160</v>
      </c>
      <c r="BB31" s="492"/>
    </row>
    <row r="32" spans="1:54" ht="12" customHeight="1" x14ac:dyDescent="0.25">
      <c r="A32" s="213" t="s">
        <v>23</v>
      </c>
      <c r="B32" s="438">
        <v>63.2</v>
      </c>
      <c r="C32" s="445">
        <v>53.1</v>
      </c>
      <c r="D32" s="252">
        <v>54.6</v>
      </c>
      <c r="E32" s="58">
        <v>49.6</v>
      </c>
      <c r="F32" s="252">
        <v>53.5</v>
      </c>
      <c r="G32" s="252">
        <v>48.9</v>
      </c>
      <c r="H32" s="252">
        <v>54.7</v>
      </c>
      <c r="I32" s="58">
        <v>50.5</v>
      </c>
      <c r="J32" s="252">
        <v>48.9</v>
      </c>
      <c r="K32" s="58">
        <v>61.00045431468493</v>
      </c>
      <c r="L32" s="252">
        <v>52.305903634671211</v>
      </c>
      <c r="M32" s="58">
        <v>59.856007819099801</v>
      </c>
      <c r="N32" s="471">
        <v>56.468294878252301</v>
      </c>
      <c r="O32" s="438">
        <v>23.3</v>
      </c>
      <c r="P32" s="446">
        <v>25.7</v>
      </c>
      <c r="Q32" s="446">
        <v>22.6</v>
      </c>
      <c r="R32" s="446">
        <v>28.7</v>
      </c>
      <c r="S32" s="446">
        <v>26.9</v>
      </c>
      <c r="T32" s="446">
        <v>24.8</v>
      </c>
      <c r="U32" s="446">
        <v>24</v>
      </c>
      <c r="V32" s="446">
        <v>26.5</v>
      </c>
      <c r="W32" s="447">
        <v>27.7</v>
      </c>
      <c r="X32" s="58">
        <v>21.987283325501984</v>
      </c>
      <c r="Y32" s="439">
        <v>23</v>
      </c>
      <c r="Z32" s="58">
        <v>17.342877353844226</v>
      </c>
      <c r="AA32" s="471">
        <v>23.1</v>
      </c>
      <c r="AB32" s="438">
        <v>5.7</v>
      </c>
      <c r="AC32" s="446">
        <v>6</v>
      </c>
      <c r="AD32" s="446">
        <v>6.8</v>
      </c>
      <c r="AE32" s="446">
        <v>8.3000000000000007</v>
      </c>
      <c r="AF32" s="446">
        <v>7.7</v>
      </c>
      <c r="AG32" s="446">
        <v>7.2</v>
      </c>
      <c r="AH32" s="446">
        <v>7.1</v>
      </c>
      <c r="AI32" s="446">
        <v>8</v>
      </c>
      <c r="AJ32" s="447">
        <v>8.1</v>
      </c>
      <c r="AK32" s="440">
        <v>6.7010473782053079</v>
      </c>
      <c r="AL32" s="440">
        <v>6.8759544813514335</v>
      </c>
      <c r="AM32" s="440">
        <v>6.0531526737311454</v>
      </c>
      <c r="AN32" s="252">
        <v>6.1893888044393535</v>
      </c>
      <c r="AO32" s="252">
        <v>1.5</v>
      </c>
      <c r="AP32" s="441">
        <v>3.4</v>
      </c>
      <c r="AQ32" s="58">
        <v>2.4</v>
      </c>
      <c r="AR32" s="442">
        <v>2.4</v>
      </c>
      <c r="AS32" s="442">
        <v>2.2000000000000002</v>
      </c>
      <c r="AT32" s="446">
        <v>2.2000000000000002</v>
      </c>
      <c r="AU32" s="445">
        <v>2.1</v>
      </c>
      <c r="AV32" s="252">
        <v>3.3</v>
      </c>
      <c r="AW32" s="252">
        <v>3.2</v>
      </c>
      <c r="AX32" s="58">
        <v>2.8653473814365147</v>
      </c>
      <c r="AY32" s="252">
        <v>2.4787107679247624</v>
      </c>
      <c r="AZ32" s="58">
        <v>2.1778436054270567</v>
      </c>
      <c r="BA32" s="252">
        <v>2.2943910762062529</v>
      </c>
      <c r="BB32" s="492"/>
    </row>
    <row r="33" spans="1:54" ht="12" customHeight="1" x14ac:dyDescent="0.25">
      <c r="A33" s="213" t="s">
        <v>24</v>
      </c>
      <c r="B33" s="438">
        <v>67.7</v>
      </c>
      <c r="C33" s="445">
        <v>64.5</v>
      </c>
      <c r="D33" s="252">
        <v>60.8</v>
      </c>
      <c r="E33" s="58">
        <v>59.3</v>
      </c>
      <c r="F33" s="252">
        <v>64.7</v>
      </c>
      <c r="G33" s="252">
        <v>67.900000000000006</v>
      </c>
      <c r="H33" s="252">
        <v>65</v>
      </c>
      <c r="I33" s="58">
        <v>52.7</v>
      </c>
      <c r="J33" s="252">
        <v>54.4</v>
      </c>
      <c r="K33" s="58">
        <v>64.296755392795802</v>
      </c>
      <c r="L33" s="252">
        <v>58.584398380481353</v>
      </c>
      <c r="M33" s="58">
        <v>59.493895114106031</v>
      </c>
      <c r="N33" s="471">
        <v>60.686313616755008</v>
      </c>
      <c r="O33" s="438">
        <v>19.100000000000001</v>
      </c>
      <c r="P33" s="446">
        <v>19.5</v>
      </c>
      <c r="Q33" s="446">
        <v>15.6</v>
      </c>
      <c r="R33" s="446">
        <v>20.100000000000001</v>
      </c>
      <c r="S33" s="446">
        <v>16.7</v>
      </c>
      <c r="T33" s="446">
        <v>16.2</v>
      </c>
      <c r="U33" s="446">
        <v>14.8</v>
      </c>
      <c r="V33" s="446">
        <v>14.6</v>
      </c>
      <c r="W33" s="447">
        <v>13.8</v>
      </c>
      <c r="X33" s="58">
        <v>17.365019970968063</v>
      </c>
      <c r="Y33" s="439">
        <v>19.7</v>
      </c>
      <c r="Z33" s="58">
        <v>21.667126721779759</v>
      </c>
      <c r="AA33" s="471">
        <v>20.9</v>
      </c>
      <c r="AB33" s="438">
        <v>3.9</v>
      </c>
      <c r="AC33" s="446">
        <v>4.3</v>
      </c>
      <c r="AD33" s="446">
        <v>4.2</v>
      </c>
      <c r="AE33" s="446">
        <v>5.3</v>
      </c>
      <c r="AF33" s="446">
        <v>4.4000000000000004</v>
      </c>
      <c r="AG33" s="446">
        <v>4.5999999999999996</v>
      </c>
      <c r="AH33" s="446">
        <v>4.0999999999999996</v>
      </c>
      <c r="AI33" s="446">
        <v>4</v>
      </c>
      <c r="AJ33" s="447">
        <v>3.9</v>
      </c>
      <c r="AK33" s="440">
        <v>4.5590763991506433</v>
      </c>
      <c r="AL33" s="440">
        <v>5.0271114623858333</v>
      </c>
      <c r="AM33" s="440">
        <v>6.0737771638928493</v>
      </c>
      <c r="AN33" s="252">
        <v>5.7374068447607609</v>
      </c>
      <c r="AO33" s="252">
        <v>2.5</v>
      </c>
      <c r="AP33" s="441">
        <v>2.2000000000000002</v>
      </c>
      <c r="AQ33" s="58">
        <v>2.5</v>
      </c>
      <c r="AR33" s="442">
        <v>3.1</v>
      </c>
      <c r="AS33" s="442">
        <v>2.4</v>
      </c>
      <c r="AT33" s="446">
        <v>2.7</v>
      </c>
      <c r="AU33" s="445">
        <v>3.9</v>
      </c>
      <c r="AV33" s="252">
        <v>3.7</v>
      </c>
      <c r="AW33" s="252">
        <v>2.8</v>
      </c>
      <c r="AX33" s="58">
        <v>3.0726116387416402</v>
      </c>
      <c r="AY33" s="252">
        <v>5.4224123515111158</v>
      </c>
      <c r="AZ33" s="58">
        <v>4.7920755353738116</v>
      </c>
      <c r="BA33" s="252">
        <v>3.6018483158063197</v>
      </c>
      <c r="BB33" s="492"/>
    </row>
    <row r="34" spans="1:54" ht="12" customHeight="1" x14ac:dyDescent="0.25">
      <c r="A34" s="213" t="s">
        <v>25</v>
      </c>
      <c r="B34" s="438">
        <v>53.2</v>
      </c>
      <c r="C34" s="445">
        <v>46.3</v>
      </c>
      <c r="D34" s="252">
        <v>48.7</v>
      </c>
      <c r="E34" s="58">
        <v>38.9</v>
      </c>
      <c r="F34" s="252">
        <v>53.3</v>
      </c>
      <c r="G34" s="252">
        <v>58.1</v>
      </c>
      <c r="H34" s="252">
        <v>55.2</v>
      </c>
      <c r="I34" s="58">
        <v>49.8</v>
      </c>
      <c r="J34" s="252">
        <v>52.3</v>
      </c>
      <c r="K34" s="58">
        <v>58.826500714152942</v>
      </c>
      <c r="L34" s="252">
        <v>56.556155935112784</v>
      </c>
      <c r="M34" s="58">
        <v>57.601052366079372</v>
      </c>
      <c r="N34" s="471">
        <v>52.501142083000033</v>
      </c>
      <c r="O34" s="438">
        <v>21.7</v>
      </c>
      <c r="P34" s="446">
        <v>25.5</v>
      </c>
      <c r="Q34" s="446">
        <v>17.8</v>
      </c>
      <c r="R34" s="446">
        <v>16.399999999999999</v>
      </c>
      <c r="S34" s="446">
        <v>14.4</v>
      </c>
      <c r="T34" s="446">
        <v>14.1</v>
      </c>
      <c r="U34" s="446">
        <v>21.1</v>
      </c>
      <c r="V34" s="446">
        <v>25</v>
      </c>
      <c r="W34" s="447">
        <v>21.4</v>
      </c>
      <c r="X34" s="58">
        <v>18.168536201578902</v>
      </c>
      <c r="Y34" s="439">
        <v>18.399999999999999</v>
      </c>
      <c r="Z34" s="58">
        <v>19.182165554082335</v>
      </c>
      <c r="AA34" s="471">
        <v>15.3</v>
      </c>
      <c r="AB34" s="438">
        <v>5</v>
      </c>
      <c r="AC34" s="446">
        <v>5.2</v>
      </c>
      <c r="AD34" s="446">
        <v>4.5</v>
      </c>
      <c r="AE34" s="446">
        <v>4</v>
      </c>
      <c r="AF34" s="446">
        <v>3.6</v>
      </c>
      <c r="AG34" s="446">
        <v>3.9</v>
      </c>
      <c r="AH34" s="446">
        <v>5.5</v>
      </c>
      <c r="AI34" s="446">
        <v>6.4</v>
      </c>
      <c r="AJ34" s="447">
        <v>5.2</v>
      </c>
      <c r="AK34" s="440">
        <v>4.9866937519578016</v>
      </c>
      <c r="AL34" s="440">
        <v>4.7566552115888143</v>
      </c>
      <c r="AM34" s="440">
        <v>4.9138418773203938</v>
      </c>
      <c r="AN34" s="252">
        <v>3.9227014656021146</v>
      </c>
      <c r="AO34" s="252">
        <v>2</v>
      </c>
      <c r="AP34" s="441">
        <v>3.9</v>
      </c>
      <c r="AQ34" s="58">
        <v>3.4</v>
      </c>
      <c r="AR34" s="442">
        <v>10.1</v>
      </c>
      <c r="AS34" s="442">
        <v>4.7</v>
      </c>
      <c r="AT34" s="446">
        <v>6</v>
      </c>
      <c r="AU34" s="445">
        <v>2.8</v>
      </c>
      <c r="AV34" s="252">
        <v>2.9</v>
      </c>
      <c r="AW34" s="252">
        <v>3.4</v>
      </c>
      <c r="AX34" s="58">
        <v>2.2523348354342461</v>
      </c>
      <c r="AY34" s="252">
        <v>5.9572050979702844</v>
      </c>
      <c r="AZ34" s="58">
        <v>7.3772745291750565</v>
      </c>
      <c r="BA34" s="252">
        <v>4.8498468860012611</v>
      </c>
      <c r="BB34" s="492"/>
    </row>
    <row r="35" spans="1:54" ht="12" customHeight="1" x14ac:dyDescent="0.25">
      <c r="A35" s="213" t="s">
        <v>26</v>
      </c>
      <c r="B35" s="438">
        <v>54.4</v>
      </c>
      <c r="C35" s="445">
        <v>51.3</v>
      </c>
      <c r="D35" s="252">
        <v>50.6</v>
      </c>
      <c r="E35" s="58">
        <v>50</v>
      </c>
      <c r="F35" s="252">
        <v>44.8</v>
      </c>
      <c r="G35" s="252">
        <v>46.8</v>
      </c>
      <c r="H35" s="252">
        <v>53</v>
      </c>
      <c r="I35" s="58">
        <v>37.6</v>
      </c>
      <c r="J35" s="252">
        <v>35.5</v>
      </c>
      <c r="K35" s="58">
        <v>42.000189014628006</v>
      </c>
      <c r="L35" s="252">
        <v>34.124800221489231</v>
      </c>
      <c r="M35" s="58">
        <v>47.377368654039422</v>
      </c>
      <c r="N35" s="471">
        <v>35.10248631787816</v>
      </c>
      <c r="O35" s="438">
        <v>29</v>
      </c>
      <c r="P35" s="446">
        <v>28.9</v>
      </c>
      <c r="Q35" s="446">
        <v>27</v>
      </c>
      <c r="R35" s="446">
        <v>28.2</v>
      </c>
      <c r="S35" s="446">
        <v>29.2</v>
      </c>
      <c r="T35" s="446">
        <v>30</v>
      </c>
      <c r="U35" s="446">
        <v>28.3</v>
      </c>
      <c r="V35" s="446">
        <v>38.6</v>
      </c>
      <c r="W35" s="447">
        <v>38.299999999999997</v>
      </c>
      <c r="X35" s="58">
        <v>33.189122840611887</v>
      </c>
      <c r="Y35" s="439">
        <v>39.200000000000003</v>
      </c>
      <c r="Z35" s="58">
        <v>28.693334149425869</v>
      </c>
      <c r="AA35" s="471">
        <v>34.700000000000003</v>
      </c>
      <c r="AB35" s="438">
        <v>6.5</v>
      </c>
      <c r="AC35" s="446">
        <v>6.6</v>
      </c>
      <c r="AD35" s="446">
        <v>8.3000000000000007</v>
      </c>
      <c r="AE35" s="446">
        <v>8.3000000000000007</v>
      </c>
      <c r="AF35" s="446">
        <v>8.1999999999999993</v>
      </c>
      <c r="AG35" s="446">
        <v>8.9</v>
      </c>
      <c r="AH35" s="446">
        <v>9</v>
      </c>
      <c r="AI35" s="446">
        <v>11.7</v>
      </c>
      <c r="AJ35" s="447">
        <v>11.4</v>
      </c>
      <c r="AK35" s="440">
        <v>8.9050840130348217</v>
      </c>
      <c r="AL35" s="440">
        <v>9.7050223298810767</v>
      </c>
      <c r="AM35" s="440">
        <v>5.9921394557111407</v>
      </c>
      <c r="AN35" s="252">
        <v>5.0538300363852473</v>
      </c>
      <c r="AO35" s="252">
        <v>1.8</v>
      </c>
      <c r="AP35" s="441">
        <v>2.1</v>
      </c>
      <c r="AQ35" s="58">
        <v>1.6</v>
      </c>
      <c r="AR35" s="442">
        <v>2.2000000000000002</v>
      </c>
      <c r="AS35" s="442">
        <v>4.0999999999999996</v>
      </c>
      <c r="AT35" s="446">
        <v>3.5</v>
      </c>
      <c r="AU35" s="445">
        <v>4</v>
      </c>
      <c r="AV35" s="252">
        <v>3.9</v>
      </c>
      <c r="AW35" s="252">
        <v>5.7</v>
      </c>
      <c r="AX35" s="58">
        <v>6.477586947083104</v>
      </c>
      <c r="AY35" s="252">
        <v>8.3249313588590024</v>
      </c>
      <c r="AZ35" s="58">
        <v>9.4606279752157363</v>
      </c>
      <c r="BA35" s="252">
        <v>4.9000000000000004</v>
      </c>
      <c r="BB35" s="492"/>
    </row>
    <row r="36" spans="1:54" ht="12" customHeight="1" x14ac:dyDescent="0.25">
      <c r="A36" s="213" t="s">
        <v>27</v>
      </c>
      <c r="B36" s="438">
        <v>58.6</v>
      </c>
      <c r="C36" s="445">
        <v>54.9</v>
      </c>
      <c r="D36" s="252">
        <v>55.5</v>
      </c>
      <c r="E36" s="58">
        <v>63.6</v>
      </c>
      <c r="F36" s="252">
        <v>52.3</v>
      </c>
      <c r="G36" s="252">
        <v>53.1</v>
      </c>
      <c r="H36" s="252">
        <v>46.4</v>
      </c>
      <c r="I36" s="58">
        <v>59.9</v>
      </c>
      <c r="J36" s="252">
        <v>57.8</v>
      </c>
      <c r="K36" s="58">
        <v>60.005337366797384</v>
      </c>
      <c r="L36" s="252">
        <v>57.933227908532693</v>
      </c>
      <c r="M36" s="58">
        <v>38.480060573704797</v>
      </c>
      <c r="N36" s="471">
        <v>35.063230526204826</v>
      </c>
      <c r="O36" s="438">
        <v>24.4</v>
      </c>
      <c r="P36" s="446">
        <v>25.2</v>
      </c>
      <c r="Q36" s="446">
        <v>24</v>
      </c>
      <c r="R36" s="446">
        <v>19.8</v>
      </c>
      <c r="S36" s="446">
        <v>25.7</v>
      </c>
      <c r="T36" s="446">
        <v>27</v>
      </c>
      <c r="U36" s="446">
        <v>19.899999999999999</v>
      </c>
      <c r="V36" s="446">
        <v>18.100000000000001</v>
      </c>
      <c r="W36" s="447">
        <v>25.2</v>
      </c>
      <c r="X36" s="58">
        <v>24.264883182910225</v>
      </c>
      <c r="Y36" s="439">
        <v>22</v>
      </c>
      <c r="Z36" s="58">
        <v>29.603207545556927</v>
      </c>
      <c r="AA36" s="471">
        <v>15.4</v>
      </c>
      <c r="AB36" s="438">
        <v>5.9</v>
      </c>
      <c r="AC36" s="446">
        <v>5.8</v>
      </c>
      <c r="AD36" s="446">
        <v>7.2</v>
      </c>
      <c r="AE36" s="446">
        <v>5.8</v>
      </c>
      <c r="AF36" s="446">
        <v>7.5</v>
      </c>
      <c r="AG36" s="446">
        <v>8.1999999999999993</v>
      </c>
      <c r="AH36" s="446">
        <v>5.3</v>
      </c>
      <c r="AI36" s="446">
        <v>5.4</v>
      </c>
      <c r="AJ36" s="447">
        <v>7.6</v>
      </c>
      <c r="AK36" s="440">
        <v>7.1083850417484733</v>
      </c>
      <c r="AL36" s="440">
        <v>6.6809141437342356</v>
      </c>
      <c r="AM36" s="440">
        <v>8.0316176400052974</v>
      </c>
      <c r="AN36" s="252">
        <v>4.589926575787926</v>
      </c>
      <c r="AO36" s="252">
        <v>2.2000000000000002</v>
      </c>
      <c r="AP36" s="441">
        <v>2.2000000000000002</v>
      </c>
      <c r="AQ36" s="58">
        <v>2.9</v>
      </c>
      <c r="AR36" s="442">
        <v>2.2999999999999998</v>
      </c>
      <c r="AS36" s="442">
        <v>2.9</v>
      </c>
      <c r="AT36" s="446">
        <v>2.8</v>
      </c>
      <c r="AU36" s="445">
        <v>3.5</v>
      </c>
      <c r="AV36" s="252">
        <v>2.1</v>
      </c>
      <c r="AW36" s="252">
        <v>4.4000000000000004</v>
      </c>
      <c r="AX36" s="58">
        <v>2.695863777545032</v>
      </c>
      <c r="AY36" s="252">
        <v>2.7055893654751006</v>
      </c>
      <c r="AZ36" s="58">
        <v>4.2845775608309111</v>
      </c>
      <c r="BA36" s="252">
        <v>2.9</v>
      </c>
      <c r="BB36" s="492"/>
    </row>
    <row r="37" spans="1:54" ht="12" customHeight="1" x14ac:dyDescent="0.25">
      <c r="A37" s="213" t="s">
        <v>28</v>
      </c>
      <c r="B37" s="438">
        <v>60.4</v>
      </c>
      <c r="C37" s="445">
        <v>62.6</v>
      </c>
      <c r="D37" s="252">
        <v>72</v>
      </c>
      <c r="E37" s="58">
        <v>59.3</v>
      </c>
      <c r="F37" s="252">
        <v>59.5</v>
      </c>
      <c r="G37" s="252">
        <v>52.2</v>
      </c>
      <c r="H37" s="252">
        <v>62.7</v>
      </c>
      <c r="I37" s="58">
        <v>64.2</v>
      </c>
      <c r="J37" s="252">
        <v>72.2</v>
      </c>
      <c r="K37" s="58">
        <v>46.661686894334814</v>
      </c>
      <c r="L37" s="252">
        <v>68.318744816250884</v>
      </c>
      <c r="M37" s="58">
        <v>70.091450004513021</v>
      </c>
      <c r="N37" s="471">
        <v>65.5442034320738</v>
      </c>
      <c r="O37" s="438">
        <v>23.4</v>
      </c>
      <c r="P37" s="446">
        <v>23.1</v>
      </c>
      <c r="Q37" s="446">
        <v>14.4</v>
      </c>
      <c r="R37" s="446">
        <v>24.2</v>
      </c>
      <c r="S37" s="446">
        <v>23.7</v>
      </c>
      <c r="T37" s="446">
        <v>29.4</v>
      </c>
      <c r="U37" s="446">
        <v>24</v>
      </c>
      <c r="V37" s="446">
        <v>23.6</v>
      </c>
      <c r="W37" s="447">
        <v>18.3</v>
      </c>
      <c r="X37" s="58">
        <v>22.185223590248789</v>
      </c>
      <c r="Y37" s="439">
        <v>19.899999999999999</v>
      </c>
      <c r="Z37" s="58">
        <v>19.240257264306248</v>
      </c>
      <c r="AA37" s="471">
        <v>18.7</v>
      </c>
      <c r="AB37" s="438">
        <v>5.7</v>
      </c>
      <c r="AC37" s="446">
        <v>5.2</v>
      </c>
      <c r="AD37" s="446">
        <v>4.5</v>
      </c>
      <c r="AE37" s="446">
        <v>7.1</v>
      </c>
      <c r="AF37" s="446">
        <v>6.9</v>
      </c>
      <c r="AG37" s="446">
        <v>8.9</v>
      </c>
      <c r="AH37" s="446">
        <v>7.5</v>
      </c>
      <c r="AI37" s="446">
        <v>5.4</v>
      </c>
      <c r="AJ37" s="447">
        <v>5.8</v>
      </c>
      <c r="AK37" s="440">
        <v>4.4202657864917203</v>
      </c>
      <c r="AL37" s="440">
        <v>4.3779905629537268</v>
      </c>
      <c r="AM37" s="440">
        <v>5.1140265239544673</v>
      </c>
      <c r="AN37" s="252">
        <v>5.236655182726369</v>
      </c>
      <c r="AO37" s="252">
        <v>3.6</v>
      </c>
      <c r="AP37" s="441">
        <v>3.1</v>
      </c>
      <c r="AQ37" s="58">
        <v>1.6</v>
      </c>
      <c r="AR37" s="442">
        <v>3.5</v>
      </c>
      <c r="AS37" s="442">
        <v>3.4</v>
      </c>
      <c r="AT37" s="446">
        <v>3.9</v>
      </c>
      <c r="AU37" s="445">
        <v>2.8</v>
      </c>
      <c r="AV37" s="252">
        <v>3.8</v>
      </c>
      <c r="AW37" s="252">
        <v>1.9</v>
      </c>
      <c r="AX37" s="58">
        <v>1.0665132983302399</v>
      </c>
      <c r="AY37" s="252">
        <v>1.7498906164077996</v>
      </c>
      <c r="AZ37" s="58">
        <v>3.1552340482458798</v>
      </c>
      <c r="BA37" s="252">
        <v>8.3000000000000007</v>
      </c>
      <c r="BB37" s="492"/>
    </row>
    <row r="38" spans="1:54" ht="12" customHeight="1" x14ac:dyDescent="0.25">
      <c r="A38" s="213" t="s">
        <v>29</v>
      </c>
      <c r="B38" s="438">
        <v>54.2</v>
      </c>
      <c r="C38" s="445">
        <v>65.400000000000006</v>
      </c>
      <c r="D38" s="252">
        <v>63.5</v>
      </c>
      <c r="E38" s="58">
        <v>57.1</v>
      </c>
      <c r="F38" s="252">
        <v>56.4</v>
      </c>
      <c r="G38" s="252">
        <v>59.8</v>
      </c>
      <c r="H38" s="252">
        <v>60.1</v>
      </c>
      <c r="I38" s="58">
        <v>61.1</v>
      </c>
      <c r="J38" s="252">
        <v>59.1</v>
      </c>
      <c r="K38" s="222">
        <v>56.148674906938155</v>
      </c>
      <c r="L38" s="252">
        <v>51.475515412161513</v>
      </c>
      <c r="M38" s="58">
        <v>54.49619473999843</v>
      </c>
      <c r="N38" s="471" t="s">
        <v>160</v>
      </c>
      <c r="O38" s="438">
        <v>16</v>
      </c>
      <c r="P38" s="446">
        <v>15.9</v>
      </c>
      <c r="Q38" s="446">
        <v>15.6</v>
      </c>
      <c r="R38" s="446">
        <v>15</v>
      </c>
      <c r="S38" s="446">
        <v>14.8</v>
      </c>
      <c r="T38" s="446">
        <v>16.600000000000001</v>
      </c>
      <c r="U38" s="446">
        <v>15.5</v>
      </c>
      <c r="V38" s="446">
        <v>17.899999999999999</v>
      </c>
      <c r="W38" s="447">
        <v>18.899999999999999</v>
      </c>
      <c r="X38" s="58">
        <v>21.983935866913225</v>
      </c>
      <c r="Y38" s="439">
        <v>24.2</v>
      </c>
      <c r="Z38" s="58">
        <v>21.469078106364083</v>
      </c>
      <c r="AA38" s="471">
        <v>22.2</v>
      </c>
      <c r="AB38" s="438">
        <v>4.5999999999999996</v>
      </c>
      <c r="AC38" s="446">
        <v>3.3</v>
      </c>
      <c r="AD38" s="446">
        <v>3.7</v>
      </c>
      <c r="AE38" s="446">
        <v>3.8</v>
      </c>
      <c r="AF38" s="446">
        <v>3.6</v>
      </c>
      <c r="AG38" s="446">
        <v>4.2</v>
      </c>
      <c r="AH38" s="446">
        <v>4</v>
      </c>
      <c r="AI38" s="446">
        <v>4.7</v>
      </c>
      <c r="AJ38" s="447">
        <v>4.8</v>
      </c>
      <c r="AK38" s="440">
        <v>5.5448631134802024</v>
      </c>
      <c r="AL38" s="440">
        <v>6.2564028507324769</v>
      </c>
      <c r="AM38" s="440">
        <v>5.5372903172311476</v>
      </c>
      <c r="AN38" s="252">
        <v>5.6543195291371973</v>
      </c>
      <c r="AO38" s="252">
        <v>2.7</v>
      </c>
      <c r="AP38" s="441">
        <v>2.7</v>
      </c>
      <c r="AQ38" s="58">
        <v>2.2999999999999998</v>
      </c>
      <c r="AR38" s="442">
        <v>3.3</v>
      </c>
      <c r="AS38" s="442">
        <v>2.9</v>
      </c>
      <c r="AT38" s="446">
        <v>3.2</v>
      </c>
      <c r="AU38" s="445">
        <v>3</v>
      </c>
      <c r="AV38" s="252">
        <v>3.6</v>
      </c>
      <c r="AW38" s="252">
        <v>3.4</v>
      </c>
      <c r="AX38" s="58">
        <v>2.7065578674213793</v>
      </c>
      <c r="AY38" s="252">
        <v>2.3672313140344232</v>
      </c>
      <c r="AZ38" s="58">
        <v>2.7545624729669642</v>
      </c>
      <c r="BA38" s="252">
        <v>2.2999999999999998</v>
      </c>
      <c r="BB38" s="492"/>
    </row>
    <row r="39" spans="1:54" s="25" customFormat="1" x14ac:dyDescent="0.25">
      <c r="A39" s="427" t="s">
        <v>121</v>
      </c>
      <c r="B39" s="434" t="s">
        <v>39</v>
      </c>
      <c r="C39" s="448">
        <v>57.2</v>
      </c>
      <c r="D39" s="251">
        <v>60.3</v>
      </c>
      <c r="E39" s="109">
        <v>59.9</v>
      </c>
      <c r="F39" s="251">
        <v>62.5</v>
      </c>
      <c r="G39" s="251">
        <v>62</v>
      </c>
      <c r="H39" s="251">
        <v>60.2</v>
      </c>
      <c r="I39" s="109">
        <v>58.4</v>
      </c>
      <c r="J39" s="251">
        <v>62</v>
      </c>
      <c r="K39" s="109">
        <v>63.790137534031267</v>
      </c>
      <c r="L39" s="251">
        <v>58.500799480843533</v>
      </c>
      <c r="M39" s="109">
        <v>56.573114765122888</v>
      </c>
      <c r="N39" s="480">
        <v>60.79663269780805</v>
      </c>
      <c r="O39" s="434" t="s">
        <v>39</v>
      </c>
      <c r="P39" s="449">
        <v>20.6</v>
      </c>
      <c r="Q39" s="449">
        <v>17.899999999999999</v>
      </c>
      <c r="R39" s="449">
        <v>18.7</v>
      </c>
      <c r="S39" s="449">
        <v>16.7</v>
      </c>
      <c r="T39" s="449">
        <v>16.899999999999999</v>
      </c>
      <c r="U39" s="449">
        <v>17.5</v>
      </c>
      <c r="V39" s="449">
        <v>17.5</v>
      </c>
      <c r="W39" s="450">
        <v>17.100000000000001</v>
      </c>
      <c r="X39" s="109">
        <v>16.355119640578899</v>
      </c>
      <c r="Y39" s="415">
        <v>18.8</v>
      </c>
      <c r="Z39" s="109">
        <v>19.099849358511758</v>
      </c>
      <c r="AA39" s="480">
        <v>19.797231910785673</v>
      </c>
      <c r="AB39" s="434" t="s">
        <v>39</v>
      </c>
      <c r="AC39" s="449">
        <v>4.5999999999999996</v>
      </c>
      <c r="AD39" s="449">
        <v>5</v>
      </c>
      <c r="AE39" s="449">
        <v>5</v>
      </c>
      <c r="AF39" s="449">
        <v>4.4000000000000004</v>
      </c>
      <c r="AG39" s="449">
        <v>4.5999999999999996</v>
      </c>
      <c r="AH39" s="449">
        <v>4.9000000000000004</v>
      </c>
      <c r="AI39" s="449">
        <v>4.9000000000000004</v>
      </c>
      <c r="AJ39" s="450">
        <v>4.7</v>
      </c>
      <c r="AK39" s="437">
        <v>4.4772999723183009</v>
      </c>
      <c r="AL39" s="437">
        <v>5.1294024525282769</v>
      </c>
      <c r="AM39" s="437">
        <v>4.9569558329164263</v>
      </c>
      <c r="AN39" s="251">
        <v>5.0318244429050241</v>
      </c>
      <c r="AO39" s="251" t="s">
        <v>39</v>
      </c>
      <c r="AP39" s="435">
        <v>3</v>
      </c>
      <c r="AQ39" s="109">
        <v>2.4</v>
      </c>
      <c r="AR39" s="436">
        <v>3</v>
      </c>
      <c r="AS39" s="436">
        <v>2.6</v>
      </c>
      <c r="AT39" s="449">
        <v>3</v>
      </c>
      <c r="AU39" s="448">
        <v>3.5</v>
      </c>
      <c r="AV39" s="251">
        <v>3.1</v>
      </c>
      <c r="AW39" s="251">
        <v>2.7</v>
      </c>
      <c r="AX39" s="109">
        <v>2.4427344961549462</v>
      </c>
      <c r="AY39" s="251">
        <v>2.5785283523878575</v>
      </c>
      <c r="AZ39" s="109">
        <v>3.2594466963298596</v>
      </c>
      <c r="BA39" s="251">
        <v>3.8</v>
      </c>
      <c r="BB39" s="490"/>
    </row>
    <row r="40" spans="1:54" ht="12" customHeight="1" x14ac:dyDescent="0.25">
      <c r="A40" s="213" t="s">
        <v>30</v>
      </c>
      <c r="B40" s="438">
        <v>65.8</v>
      </c>
      <c r="C40" s="445">
        <v>35.6</v>
      </c>
      <c r="D40" s="252">
        <v>56.3</v>
      </c>
      <c r="E40" s="58">
        <v>54.4</v>
      </c>
      <c r="F40" s="252">
        <v>63.4</v>
      </c>
      <c r="G40" s="252">
        <v>65.5</v>
      </c>
      <c r="H40" s="252">
        <v>64.599999999999994</v>
      </c>
      <c r="I40" s="58">
        <v>64.599999999999994</v>
      </c>
      <c r="J40" s="252">
        <v>69.5</v>
      </c>
      <c r="K40" s="58">
        <v>73.754690353022099</v>
      </c>
      <c r="L40" s="252">
        <v>76.836644944673012</v>
      </c>
      <c r="M40" s="58">
        <v>70.97469817473889</v>
      </c>
      <c r="N40" s="471" t="s">
        <v>160</v>
      </c>
      <c r="O40" s="438">
        <v>20.399999999999999</v>
      </c>
      <c r="P40" s="446">
        <v>10.5</v>
      </c>
      <c r="Q40" s="446">
        <v>17.899999999999999</v>
      </c>
      <c r="R40" s="446">
        <v>13</v>
      </c>
      <c r="S40" s="446">
        <v>11.2</v>
      </c>
      <c r="T40" s="446">
        <v>14.5</v>
      </c>
      <c r="U40" s="446">
        <v>13.2</v>
      </c>
      <c r="V40" s="446">
        <v>13.1</v>
      </c>
      <c r="W40" s="447">
        <v>9.8000000000000007</v>
      </c>
      <c r="X40" s="58">
        <v>10.724674617021762</v>
      </c>
      <c r="Y40" s="439">
        <v>9.3986310376703663</v>
      </c>
      <c r="Z40" s="58">
        <v>9.9556978461494978</v>
      </c>
      <c r="AA40" s="471" t="s">
        <v>160</v>
      </c>
      <c r="AB40" s="438">
        <v>5.0999999999999996</v>
      </c>
      <c r="AC40" s="446">
        <v>2.6</v>
      </c>
      <c r="AD40" s="446">
        <v>5.9</v>
      </c>
      <c r="AE40" s="446">
        <v>3.8</v>
      </c>
      <c r="AF40" s="446">
        <v>3.2</v>
      </c>
      <c r="AG40" s="446">
        <v>4.2</v>
      </c>
      <c r="AH40" s="446">
        <v>3.8</v>
      </c>
      <c r="AI40" s="446">
        <v>4</v>
      </c>
      <c r="AJ40" s="447">
        <v>3</v>
      </c>
      <c r="AK40" s="440">
        <v>3.163878238699013</v>
      </c>
      <c r="AL40" s="440">
        <v>2.7909998070102935</v>
      </c>
      <c r="AM40" s="440">
        <v>3.0117360296507765</v>
      </c>
      <c r="AN40" s="252" t="s">
        <v>160</v>
      </c>
      <c r="AO40" s="252">
        <v>2.8</v>
      </c>
      <c r="AP40" s="441">
        <v>1.8</v>
      </c>
      <c r="AQ40" s="58">
        <v>3.2</v>
      </c>
      <c r="AR40" s="442">
        <v>3.9</v>
      </c>
      <c r="AS40" s="442">
        <v>3.7</v>
      </c>
      <c r="AT40" s="446">
        <v>2.6</v>
      </c>
      <c r="AU40" s="445">
        <v>2.5</v>
      </c>
      <c r="AV40" s="252">
        <v>3.1</v>
      </c>
      <c r="AW40" s="252">
        <v>2.2000000000000002</v>
      </c>
      <c r="AX40" s="58">
        <v>1.6317500580182913</v>
      </c>
      <c r="AY40" s="252">
        <v>1.4534682993855661</v>
      </c>
      <c r="AZ40" s="58">
        <v>2.4774757267832159</v>
      </c>
      <c r="BA40" s="252" t="s">
        <v>160</v>
      </c>
      <c r="BB40" s="492"/>
    </row>
    <row r="41" spans="1:54" ht="12" customHeight="1" x14ac:dyDescent="0.25">
      <c r="A41" s="213" t="s">
        <v>31</v>
      </c>
      <c r="B41" s="438">
        <v>65.900000000000006</v>
      </c>
      <c r="C41" s="445">
        <v>64.400000000000006</v>
      </c>
      <c r="D41" s="252">
        <v>67.7</v>
      </c>
      <c r="E41" s="58">
        <v>56.4</v>
      </c>
      <c r="F41" s="252">
        <v>66.400000000000006</v>
      </c>
      <c r="G41" s="252">
        <v>67.8</v>
      </c>
      <c r="H41" s="252">
        <v>55.9</v>
      </c>
      <c r="I41" s="58">
        <v>25.3</v>
      </c>
      <c r="J41" s="252">
        <v>54.4</v>
      </c>
      <c r="K41" s="58">
        <v>58.007847695465095</v>
      </c>
      <c r="L41" s="252">
        <v>61.849775721687259</v>
      </c>
      <c r="M41" s="58" t="s">
        <v>39</v>
      </c>
      <c r="N41" s="471" t="s">
        <v>160</v>
      </c>
      <c r="O41" s="438">
        <v>16.899999999999999</v>
      </c>
      <c r="P41" s="446">
        <v>22.6</v>
      </c>
      <c r="Q41" s="446">
        <v>13.4</v>
      </c>
      <c r="R41" s="446">
        <v>16.5</v>
      </c>
      <c r="S41" s="446">
        <v>16.3</v>
      </c>
      <c r="T41" s="446">
        <v>15.7</v>
      </c>
      <c r="U41" s="446">
        <v>23.5</v>
      </c>
      <c r="V41" s="446">
        <v>35.4</v>
      </c>
      <c r="W41" s="447">
        <v>27.2</v>
      </c>
      <c r="X41" s="58">
        <v>19.180854571965757</v>
      </c>
      <c r="Y41" s="439">
        <v>13.335188042444884</v>
      </c>
      <c r="Z41" s="58" t="s">
        <v>39</v>
      </c>
      <c r="AA41" s="471" t="s">
        <v>160</v>
      </c>
      <c r="AB41" s="438">
        <v>4.2</v>
      </c>
      <c r="AC41" s="446">
        <v>5.4</v>
      </c>
      <c r="AD41" s="446">
        <v>4.2</v>
      </c>
      <c r="AE41" s="446">
        <v>4.5</v>
      </c>
      <c r="AF41" s="446">
        <v>4.5999999999999996</v>
      </c>
      <c r="AG41" s="446">
        <v>4.0999999999999996</v>
      </c>
      <c r="AH41" s="446">
        <v>7.1</v>
      </c>
      <c r="AI41" s="446">
        <v>8.5</v>
      </c>
      <c r="AJ41" s="447">
        <v>8.1</v>
      </c>
      <c r="AK41" s="440">
        <v>5.5109654515106712</v>
      </c>
      <c r="AL41" s="440">
        <v>4.6735984715014913</v>
      </c>
      <c r="AM41" s="440" t="s">
        <v>39</v>
      </c>
      <c r="AN41" s="252" t="s">
        <v>160</v>
      </c>
      <c r="AO41" s="252">
        <v>4.0999999999999996</v>
      </c>
      <c r="AP41" s="441">
        <v>1.8</v>
      </c>
      <c r="AQ41" s="58">
        <v>3.3</v>
      </c>
      <c r="AR41" s="442">
        <v>3.1</v>
      </c>
      <c r="AS41" s="442">
        <v>3.7</v>
      </c>
      <c r="AT41" s="446">
        <v>3.7</v>
      </c>
      <c r="AU41" s="445">
        <v>3.1</v>
      </c>
      <c r="AV41" s="252">
        <v>8.6999999999999993</v>
      </c>
      <c r="AW41" s="252">
        <v>5.0999999999999996</v>
      </c>
      <c r="AX41" s="58">
        <v>3.9624836276421465</v>
      </c>
      <c r="AY41" s="252">
        <v>19.385204842222727</v>
      </c>
      <c r="AZ41" s="58">
        <v>1.4577682769358138</v>
      </c>
      <c r="BA41" s="252" t="s">
        <v>160</v>
      </c>
      <c r="BB41" s="492"/>
    </row>
    <row r="42" spans="1:54" ht="12" customHeight="1" x14ac:dyDescent="0.25">
      <c r="A42" s="213" t="s">
        <v>116</v>
      </c>
      <c r="B42" s="470"/>
      <c r="C42" s="470"/>
      <c r="D42" s="252"/>
      <c r="E42" s="58"/>
      <c r="F42" s="252"/>
      <c r="G42" s="252">
        <v>51.2</v>
      </c>
      <c r="H42" s="252">
        <v>65.900000000000006</v>
      </c>
      <c r="I42" s="58">
        <v>72.3</v>
      </c>
      <c r="J42" s="252">
        <v>69.5</v>
      </c>
      <c r="K42" s="58">
        <v>71.12045622300225</v>
      </c>
      <c r="L42" s="252">
        <v>56.46499293367787</v>
      </c>
      <c r="M42" s="58">
        <v>66.510197632670796</v>
      </c>
      <c r="N42" s="471">
        <v>62.99570329559009</v>
      </c>
      <c r="O42" s="470"/>
      <c r="P42" s="470"/>
      <c r="Q42" s="470"/>
      <c r="R42" s="470"/>
      <c r="S42" s="470"/>
      <c r="T42" s="470">
        <v>24.3</v>
      </c>
      <c r="U42" s="470">
        <v>18.600000000000001</v>
      </c>
      <c r="V42" s="470">
        <v>16.399999999999999</v>
      </c>
      <c r="W42" s="471">
        <v>13.3</v>
      </c>
      <c r="X42" s="470">
        <v>11.726608930184831</v>
      </c>
      <c r="Y42" s="471">
        <v>17.455298669621154</v>
      </c>
      <c r="Z42" s="58">
        <v>21.525497189997505</v>
      </c>
      <c r="AA42" s="471">
        <v>23.488153262124271</v>
      </c>
      <c r="AB42" s="470"/>
      <c r="AC42" s="470"/>
      <c r="AD42" s="470"/>
      <c r="AE42" s="470"/>
      <c r="AF42" s="470"/>
      <c r="AG42" s="470">
        <v>8.6999999999999993</v>
      </c>
      <c r="AH42" s="470">
        <v>5.7</v>
      </c>
      <c r="AI42" s="470">
        <v>4.2</v>
      </c>
      <c r="AJ42" s="471">
        <v>3</v>
      </c>
      <c r="AK42" s="440">
        <v>2.705490504607178</v>
      </c>
      <c r="AL42" s="440">
        <v>2.9259382472040198</v>
      </c>
      <c r="AM42" s="440">
        <v>3.426507918951148</v>
      </c>
      <c r="AN42" s="252">
        <v>4.0572017150016748</v>
      </c>
      <c r="AO42" s="252"/>
      <c r="AP42" s="440"/>
      <c r="AQ42" s="470"/>
      <c r="AR42" s="252"/>
      <c r="AS42" s="252"/>
      <c r="AT42" s="470">
        <v>8.9</v>
      </c>
      <c r="AU42" s="470">
        <v>1.6</v>
      </c>
      <c r="AV42" s="252">
        <v>1.4</v>
      </c>
      <c r="AW42" s="252">
        <v>1.3</v>
      </c>
      <c r="AX42" s="58">
        <v>1.8232974492374419</v>
      </c>
      <c r="AY42" s="252">
        <v>3.0082178251988174</v>
      </c>
      <c r="AZ42" s="58">
        <v>2.4519323661746908</v>
      </c>
      <c r="BA42" s="252">
        <v>2.9</v>
      </c>
      <c r="BB42" s="492"/>
    </row>
    <row r="43" spans="1:54" ht="12" customHeight="1" x14ac:dyDescent="0.25">
      <c r="A43" s="213" t="s">
        <v>32</v>
      </c>
      <c r="B43" s="438">
        <v>60.8</v>
      </c>
      <c r="C43" s="472">
        <v>58.1</v>
      </c>
      <c r="D43" s="252">
        <v>61.4</v>
      </c>
      <c r="E43" s="58">
        <v>61.4</v>
      </c>
      <c r="F43" s="252">
        <v>62.7</v>
      </c>
      <c r="G43" s="252">
        <v>61.3</v>
      </c>
      <c r="H43" s="252">
        <v>61.8</v>
      </c>
      <c r="I43" s="58">
        <v>57.1</v>
      </c>
      <c r="J43" s="252">
        <v>61.8</v>
      </c>
      <c r="K43" s="58">
        <v>64.59337897681236</v>
      </c>
      <c r="L43" s="252">
        <v>55.771826408961722</v>
      </c>
      <c r="M43" s="58">
        <v>66.510197632670796</v>
      </c>
      <c r="N43" s="471">
        <v>60.413995227673226</v>
      </c>
      <c r="O43" s="438">
        <v>20.9</v>
      </c>
      <c r="P43" s="473">
        <v>19.8</v>
      </c>
      <c r="Q43" s="473">
        <v>16.3</v>
      </c>
      <c r="R43" s="473">
        <v>17.399999999999999</v>
      </c>
      <c r="S43" s="473">
        <v>15.4</v>
      </c>
      <c r="T43" s="473">
        <v>16.3</v>
      </c>
      <c r="U43" s="473">
        <v>16.399999999999999</v>
      </c>
      <c r="V43" s="473">
        <v>16.3</v>
      </c>
      <c r="W43" s="474">
        <v>17</v>
      </c>
      <c r="X43" s="58">
        <v>15.562208540622294</v>
      </c>
      <c r="Y43" s="471">
        <v>18.260646513106728</v>
      </c>
      <c r="Z43" s="58">
        <v>17.852447064407915</v>
      </c>
      <c r="AA43" s="471">
        <v>19.272126172403198</v>
      </c>
      <c r="AB43" s="438">
        <v>4.8</v>
      </c>
      <c r="AC43" s="473">
        <v>4.2</v>
      </c>
      <c r="AD43" s="473">
        <v>4.4000000000000004</v>
      </c>
      <c r="AE43" s="473">
        <v>4.5999999999999996</v>
      </c>
      <c r="AF43" s="473">
        <v>4.0999999999999996</v>
      </c>
      <c r="AG43" s="473">
        <v>4.4000000000000004</v>
      </c>
      <c r="AH43" s="473">
        <v>4.5</v>
      </c>
      <c r="AI43" s="473">
        <v>4.5</v>
      </c>
      <c r="AJ43" s="474">
        <v>4.5999999999999996</v>
      </c>
      <c r="AK43" s="440">
        <v>4.1346999791047869</v>
      </c>
      <c r="AL43" s="440">
        <v>5.1244331210178036</v>
      </c>
      <c r="AM43" s="440">
        <v>4.7298468023184332</v>
      </c>
      <c r="AN43" s="252">
        <v>5.0532083742170553</v>
      </c>
      <c r="AO43" s="252">
        <v>3</v>
      </c>
      <c r="AP43" s="441">
        <v>2.9</v>
      </c>
      <c r="AQ43" s="58">
        <v>2.2999999999999998</v>
      </c>
      <c r="AR43" s="470">
        <v>2.8</v>
      </c>
      <c r="AS43" s="470">
        <v>2.2000000000000002</v>
      </c>
      <c r="AT43" s="446">
        <v>3</v>
      </c>
      <c r="AU43" s="445">
        <v>3.7</v>
      </c>
      <c r="AV43" s="252">
        <v>3.1</v>
      </c>
      <c r="AW43" s="252">
        <v>2.9</v>
      </c>
      <c r="AX43" s="58">
        <v>2.2450746152403536</v>
      </c>
      <c r="AY43" s="252">
        <v>2.3284546272352178</v>
      </c>
      <c r="AZ43" s="58">
        <v>3.5418325106988586</v>
      </c>
      <c r="BA43" s="252">
        <v>4.5</v>
      </c>
      <c r="BB43" s="492"/>
    </row>
    <row r="44" spans="1:54" ht="12" customHeight="1" x14ac:dyDescent="0.25">
      <c r="A44" s="213" t="s">
        <v>33</v>
      </c>
      <c r="B44" s="438">
        <v>61.3</v>
      </c>
      <c r="C44" s="445">
        <v>58.4</v>
      </c>
      <c r="D44" s="252">
        <v>60.6</v>
      </c>
      <c r="E44" s="58">
        <v>61.2</v>
      </c>
      <c r="F44" s="252">
        <v>76.599999999999994</v>
      </c>
      <c r="G44" s="252">
        <v>81.3</v>
      </c>
      <c r="H44" s="252">
        <v>61.7</v>
      </c>
      <c r="I44" s="58">
        <v>71.400000000000006</v>
      </c>
      <c r="J44" s="252">
        <v>64.099999999999994</v>
      </c>
      <c r="K44" s="58">
        <v>60.790031483596394</v>
      </c>
      <c r="L44" s="252">
        <v>51.522071713195714</v>
      </c>
      <c r="M44" s="58">
        <v>57.5</v>
      </c>
      <c r="N44" s="471">
        <v>52.668086846234566</v>
      </c>
      <c r="O44" s="438">
        <v>22.4</v>
      </c>
      <c r="P44" s="446">
        <v>20.6</v>
      </c>
      <c r="Q44" s="446">
        <v>21.3</v>
      </c>
      <c r="R44" s="446">
        <v>21.3</v>
      </c>
      <c r="S44" s="446">
        <v>12</v>
      </c>
      <c r="T44" s="446">
        <v>8</v>
      </c>
      <c r="U44" s="446">
        <v>21.3</v>
      </c>
      <c r="V44" s="446">
        <v>8.6999999999999993</v>
      </c>
      <c r="W44" s="447">
        <v>13.3</v>
      </c>
      <c r="X44" s="58">
        <v>18.119104224393347</v>
      </c>
      <c r="Y44" s="439">
        <v>26.577865929145783</v>
      </c>
      <c r="Z44" s="58">
        <v>2.7168044951653703</v>
      </c>
      <c r="AA44" s="471">
        <v>23.795370726780771</v>
      </c>
      <c r="AB44" s="438">
        <v>5.6</v>
      </c>
      <c r="AC44" s="446">
        <v>5.2</v>
      </c>
      <c r="AD44" s="446">
        <v>6.4</v>
      </c>
      <c r="AE44" s="446">
        <v>6.2</v>
      </c>
      <c r="AF44" s="446">
        <v>3.2</v>
      </c>
      <c r="AG44" s="446">
        <v>2</v>
      </c>
      <c r="AH44" s="446">
        <v>6.2</v>
      </c>
      <c r="AI44" s="446">
        <v>2.6</v>
      </c>
      <c r="AJ44" s="447">
        <v>3.9</v>
      </c>
      <c r="AK44" s="440">
        <v>5.4007914690597474</v>
      </c>
      <c r="AL44" s="440">
        <v>6.9213193009523151</v>
      </c>
      <c r="AM44" s="440">
        <v>7.0850053961438784</v>
      </c>
      <c r="AN44" s="252">
        <v>5.7</v>
      </c>
      <c r="AO44" s="252">
        <v>2</v>
      </c>
      <c r="AP44" s="441">
        <v>3.4</v>
      </c>
      <c r="AQ44" s="58">
        <v>2.6</v>
      </c>
      <c r="AR44" s="442">
        <v>3.1</v>
      </c>
      <c r="AS44" s="442">
        <v>1.3</v>
      </c>
      <c r="AT44" s="446">
        <v>1</v>
      </c>
      <c r="AU44" s="445">
        <v>3.8</v>
      </c>
      <c r="AV44" s="252">
        <v>1.9</v>
      </c>
      <c r="AW44" s="252">
        <v>1.8</v>
      </c>
      <c r="AX44" s="58">
        <v>1.8138960042659331</v>
      </c>
      <c r="AY44" s="252">
        <v>2.9949433496203386</v>
      </c>
      <c r="AZ44" s="58">
        <v>1.8039307612362916</v>
      </c>
      <c r="BA44" s="252">
        <v>2</v>
      </c>
      <c r="BB44" s="492"/>
    </row>
    <row r="45" spans="1:54" ht="12" customHeight="1" x14ac:dyDescent="0.25">
      <c r="A45" s="213" t="s">
        <v>34</v>
      </c>
      <c r="B45" s="438">
        <v>59.9</v>
      </c>
      <c r="C45" s="445">
        <v>53.3</v>
      </c>
      <c r="D45" s="252">
        <v>54.1</v>
      </c>
      <c r="E45" s="58">
        <v>58.1</v>
      </c>
      <c r="F45" s="252">
        <v>62.3</v>
      </c>
      <c r="G45" s="252">
        <v>58.4</v>
      </c>
      <c r="H45" s="252">
        <v>55.1</v>
      </c>
      <c r="I45" s="58">
        <v>56.6</v>
      </c>
      <c r="J45" s="252">
        <v>57.5</v>
      </c>
      <c r="K45" s="58">
        <v>59.662129658267858</v>
      </c>
      <c r="L45" s="252">
        <v>70.098711534739223</v>
      </c>
      <c r="M45" s="58">
        <v>57.915032537050628</v>
      </c>
      <c r="N45" s="471">
        <v>60.352136535262765</v>
      </c>
      <c r="O45" s="438">
        <v>22</v>
      </c>
      <c r="P45" s="446">
        <v>23.4</v>
      </c>
      <c r="Q45" s="446">
        <v>22.3</v>
      </c>
      <c r="R45" s="446">
        <v>21</v>
      </c>
      <c r="S45" s="446">
        <v>19.7</v>
      </c>
      <c r="T45" s="446">
        <v>19</v>
      </c>
      <c r="U45" s="446">
        <v>18.2</v>
      </c>
      <c r="V45" s="446">
        <v>19.8</v>
      </c>
      <c r="W45" s="447">
        <v>21.5</v>
      </c>
      <c r="X45" s="58">
        <v>22.396639682581494</v>
      </c>
      <c r="Y45" s="439">
        <v>15.922775002525514</v>
      </c>
      <c r="Z45" s="58">
        <v>20.679939416846469</v>
      </c>
      <c r="AA45" s="471">
        <v>20.7</v>
      </c>
      <c r="AB45" s="438">
        <v>5.4</v>
      </c>
      <c r="AC45" s="446">
        <v>5.5</v>
      </c>
      <c r="AD45" s="446">
        <v>6.7</v>
      </c>
      <c r="AE45" s="446">
        <v>5.4</v>
      </c>
      <c r="AF45" s="446">
        <v>5.0999999999999996</v>
      </c>
      <c r="AG45" s="446">
        <v>5.3</v>
      </c>
      <c r="AH45" s="446">
        <v>5.2</v>
      </c>
      <c r="AI45" s="446">
        <v>5.7</v>
      </c>
      <c r="AJ45" s="447">
        <v>6</v>
      </c>
      <c r="AK45" s="440">
        <v>6.375414841828599</v>
      </c>
      <c r="AL45" s="440">
        <v>4.6500294974747485</v>
      </c>
      <c r="AM45" s="440">
        <v>5.4163761869536948</v>
      </c>
      <c r="AN45" s="252">
        <v>5.5</v>
      </c>
      <c r="AO45" s="252">
        <v>2.2999999999999998</v>
      </c>
      <c r="AP45" s="441">
        <v>3.3</v>
      </c>
      <c r="AQ45" s="58">
        <v>2.8</v>
      </c>
      <c r="AR45" s="442">
        <v>3.1</v>
      </c>
      <c r="AS45" s="442">
        <v>3.3</v>
      </c>
      <c r="AT45" s="446">
        <v>3.7</v>
      </c>
      <c r="AU45" s="445">
        <v>3</v>
      </c>
      <c r="AV45" s="252">
        <v>3.9</v>
      </c>
      <c r="AW45" s="252">
        <v>4.2</v>
      </c>
      <c r="AX45" s="58">
        <v>3.618226930585426</v>
      </c>
      <c r="AY45" s="252">
        <v>3.2107656787095742</v>
      </c>
      <c r="AZ45" s="58">
        <v>3.8124198486193861</v>
      </c>
      <c r="BA45" s="252">
        <v>4.2</v>
      </c>
      <c r="BB45" s="492"/>
    </row>
    <row r="46" spans="1:54" ht="12" customHeight="1" x14ac:dyDescent="0.25">
      <c r="A46" s="213" t="s">
        <v>35</v>
      </c>
      <c r="B46" s="438">
        <v>61.5</v>
      </c>
      <c r="C46" s="445">
        <v>59.9</v>
      </c>
      <c r="D46" s="252">
        <v>60.7</v>
      </c>
      <c r="E46" s="58">
        <v>55.9</v>
      </c>
      <c r="F46" s="252">
        <v>56.7</v>
      </c>
      <c r="G46" s="252">
        <v>56</v>
      </c>
      <c r="H46" s="252">
        <v>59.1</v>
      </c>
      <c r="I46" s="58">
        <v>56.5</v>
      </c>
      <c r="J46" s="252">
        <v>60</v>
      </c>
      <c r="K46" s="58">
        <v>60.238432448529487</v>
      </c>
      <c r="L46" s="252">
        <v>61.083606929927271</v>
      </c>
      <c r="M46" s="58">
        <v>61.107682318321288</v>
      </c>
      <c r="N46" s="471">
        <v>63.173090459368595</v>
      </c>
      <c r="O46" s="438">
        <v>20.5</v>
      </c>
      <c r="P46" s="446">
        <v>22.1</v>
      </c>
      <c r="Q46" s="446">
        <v>20</v>
      </c>
      <c r="R46" s="446">
        <v>22.4</v>
      </c>
      <c r="S46" s="446">
        <v>21.3</v>
      </c>
      <c r="T46" s="446">
        <v>22.7</v>
      </c>
      <c r="U46" s="446">
        <v>20.5</v>
      </c>
      <c r="V46" s="446">
        <v>21.3</v>
      </c>
      <c r="W46" s="447">
        <v>19.5</v>
      </c>
      <c r="X46" s="58">
        <v>18.730812321717917</v>
      </c>
      <c r="Y46" s="439">
        <v>20.833490389078211</v>
      </c>
      <c r="Z46" s="58">
        <v>20.158877013633266</v>
      </c>
      <c r="AA46" s="471">
        <v>18.751922129826834</v>
      </c>
      <c r="AB46" s="438">
        <v>5</v>
      </c>
      <c r="AC46" s="446">
        <v>5</v>
      </c>
      <c r="AD46" s="446">
        <v>5.9</v>
      </c>
      <c r="AE46" s="446">
        <v>6.3</v>
      </c>
      <c r="AF46" s="446">
        <v>5.8</v>
      </c>
      <c r="AG46" s="446">
        <v>6.3</v>
      </c>
      <c r="AH46" s="446">
        <v>5.9</v>
      </c>
      <c r="AI46" s="446">
        <v>6.2</v>
      </c>
      <c r="AJ46" s="447">
        <v>5.6</v>
      </c>
      <c r="AK46" s="440">
        <v>5.4524401689755377</v>
      </c>
      <c r="AL46" s="440">
        <v>5.9068962964589335</v>
      </c>
      <c r="AM46" s="440">
        <v>5.859527438639013</v>
      </c>
      <c r="AN46" s="252">
        <v>5.125667823904041</v>
      </c>
      <c r="AO46" s="252">
        <v>2.5</v>
      </c>
      <c r="AP46" s="441">
        <v>3.1</v>
      </c>
      <c r="AQ46" s="58">
        <v>2.7</v>
      </c>
      <c r="AR46" s="442">
        <v>3.6</v>
      </c>
      <c r="AS46" s="442">
        <v>3.7</v>
      </c>
      <c r="AT46" s="446">
        <v>3.5</v>
      </c>
      <c r="AU46" s="445">
        <v>3.2</v>
      </c>
      <c r="AV46" s="252">
        <v>3.1</v>
      </c>
      <c r="AW46" s="252">
        <v>2.9</v>
      </c>
      <c r="AX46" s="58">
        <v>2.9846378482549074</v>
      </c>
      <c r="AY46" s="252">
        <v>2.4126016368206704</v>
      </c>
      <c r="AZ46" s="58">
        <v>2.9324425911343037</v>
      </c>
      <c r="BA46" s="252">
        <v>2.6883395145802336</v>
      </c>
      <c r="BB46" s="492"/>
    </row>
    <row r="47" spans="1:54" s="7" customFormat="1" ht="12" customHeight="1" x14ac:dyDescent="0.25">
      <c r="A47" s="213" t="s">
        <v>128</v>
      </c>
      <c r="B47" s="252"/>
      <c r="C47" s="58"/>
      <c r="D47" s="252"/>
      <c r="E47" s="58"/>
      <c r="F47" s="252"/>
      <c r="G47" s="58">
        <v>88.6</v>
      </c>
      <c r="H47" s="252">
        <v>80.7</v>
      </c>
      <c r="I47" s="58">
        <v>56.8</v>
      </c>
      <c r="J47" s="252">
        <v>46.5</v>
      </c>
      <c r="K47" s="222">
        <v>59.003557290920504</v>
      </c>
      <c r="L47" s="252">
        <v>40.724837316983404</v>
      </c>
      <c r="M47" s="58">
        <v>48.18373297240786</v>
      </c>
      <c r="N47" s="471">
        <v>52.440624125063771</v>
      </c>
      <c r="O47" s="442"/>
      <c r="P47" s="439"/>
      <c r="Q47" s="58"/>
      <c r="R47" s="439"/>
      <c r="S47" s="58"/>
      <c r="T47" s="439">
        <v>6.7</v>
      </c>
      <c r="U47" s="58">
        <v>8.1999999999999993</v>
      </c>
      <c r="V47" s="439">
        <v>21.4</v>
      </c>
      <c r="W47" s="440">
        <v>21.5</v>
      </c>
      <c r="X47" s="58">
        <v>15.214862085864587</v>
      </c>
      <c r="Y47" s="439">
        <v>32.319604588255359</v>
      </c>
      <c r="Z47" s="58">
        <v>29.060954118905226</v>
      </c>
      <c r="AA47" s="471">
        <v>31.617549773190813</v>
      </c>
      <c r="AB47" s="439"/>
      <c r="AC47" s="439"/>
      <c r="AD47" s="439"/>
      <c r="AE47" s="58"/>
      <c r="AF47" s="439"/>
      <c r="AG47" s="58">
        <v>2.2999999999999998</v>
      </c>
      <c r="AH47" s="439">
        <v>2.4</v>
      </c>
      <c r="AI47" s="439">
        <v>5.4</v>
      </c>
      <c r="AJ47" s="439">
        <v>5.8</v>
      </c>
      <c r="AK47" s="440">
        <v>3.8157189175971982</v>
      </c>
      <c r="AL47" s="440">
        <v>7.9057543823787286</v>
      </c>
      <c r="AM47" s="440">
        <v>3.2117686609480751</v>
      </c>
      <c r="AN47" s="252">
        <v>6.2740570450465301</v>
      </c>
      <c r="AO47" s="252"/>
      <c r="AP47" s="440"/>
      <c r="AQ47" s="58"/>
      <c r="AR47" s="252"/>
      <c r="AS47" s="58"/>
      <c r="AT47" s="252">
        <v>1.1000000000000001</v>
      </c>
      <c r="AU47" s="58">
        <v>0.7</v>
      </c>
      <c r="AV47" s="252">
        <v>2.7</v>
      </c>
      <c r="AW47" s="252">
        <v>3.6</v>
      </c>
      <c r="AX47" s="58">
        <v>4.1489600384749172</v>
      </c>
      <c r="AY47" s="252">
        <v>5.0555789379395799</v>
      </c>
      <c r="AZ47" s="58">
        <v>2.6570763741168442</v>
      </c>
      <c r="BA47" s="252" t="s">
        <v>160</v>
      </c>
      <c r="BB47" s="492"/>
    </row>
    <row r="48" spans="1:54" s="25" customFormat="1" ht="21" customHeight="1" x14ac:dyDescent="0.25">
      <c r="A48" s="427" t="s">
        <v>145</v>
      </c>
      <c r="B48" s="434" t="s">
        <v>39</v>
      </c>
      <c r="C48" s="448">
        <v>65</v>
      </c>
      <c r="D48" s="251">
        <v>56.7</v>
      </c>
      <c r="E48" s="109">
        <v>63.8</v>
      </c>
      <c r="F48" s="251">
        <v>66.900000000000006</v>
      </c>
      <c r="G48" s="251">
        <v>73.900000000000006</v>
      </c>
      <c r="H48" s="251">
        <v>73</v>
      </c>
      <c r="I48" s="109">
        <v>76.5</v>
      </c>
      <c r="J48" s="251">
        <v>74.3</v>
      </c>
      <c r="K48" s="109">
        <v>75.185622440149174</v>
      </c>
      <c r="L48" s="251">
        <v>77.611763662830285</v>
      </c>
      <c r="M48" s="109">
        <v>67.563454343643357</v>
      </c>
      <c r="N48" s="480">
        <v>79.175729037339835</v>
      </c>
      <c r="O48" s="434" t="s">
        <v>39</v>
      </c>
      <c r="P48" s="449">
        <v>10.4</v>
      </c>
      <c r="Q48" s="449">
        <v>9.8000000000000007</v>
      </c>
      <c r="R48" s="449">
        <v>10.3</v>
      </c>
      <c r="S48" s="449">
        <v>12.2</v>
      </c>
      <c r="T48" s="449">
        <v>11</v>
      </c>
      <c r="U48" s="449">
        <v>10.8</v>
      </c>
      <c r="V48" s="449">
        <v>10.199999999999999</v>
      </c>
      <c r="W48" s="450">
        <v>10.4</v>
      </c>
      <c r="X48" s="109">
        <v>9.3793404579800796</v>
      </c>
      <c r="Y48" s="415">
        <v>10.069225997254891</v>
      </c>
      <c r="Z48" s="109">
        <v>11.854698456119653</v>
      </c>
      <c r="AA48" s="480">
        <v>10.391573254155521</v>
      </c>
      <c r="AB48" s="434" t="s">
        <v>39</v>
      </c>
      <c r="AC48" s="449">
        <v>2.4</v>
      </c>
      <c r="AD48" s="449">
        <v>3.1</v>
      </c>
      <c r="AE48" s="449">
        <v>2.9</v>
      </c>
      <c r="AF48" s="449">
        <v>3.4</v>
      </c>
      <c r="AG48" s="449">
        <v>3.2</v>
      </c>
      <c r="AH48" s="449">
        <v>3</v>
      </c>
      <c r="AI48" s="449">
        <v>2.9</v>
      </c>
      <c r="AJ48" s="450">
        <v>3.1</v>
      </c>
      <c r="AK48" s="437">
        <v>2.6896145092023112</v>
      </c>
      <c r="AL48" s="437">
        <v>2.8608083715278787</v>
      </c>
      <c r="AM48" s="437">
        <v>3.1291726732657605</v>
      </c>
      <c r="AN48" s="251">
        <v>2.8068934109965893</v>
      </c>
      <c r="AO48" s="251" t="s">
        <v>39</v>
      </c>
      <c r="AP48" s="435">
        <v>2</v>
      </c>
      <c r="AQ48" s="109">
        <v>2.2000000000000002</v>
      </c>
      <c r="AR48" s="436">
        <v>2.6</v>
      </c>
      <c r="AS48" s="436">
        <v>2.8</v>
      </c>
      <c r="AT48" s="449">
        <v>2.9</v>
      </c>
      <c r="AU48" s="448">
        <v>3.5</v>
      </c>
      <c r="AV48" s="251">
        <v>3.4</v>
      </c>
      <c r="AW48" s="251">
        <v>2.9</v>
      </c>
      <c r="AX48" s="109">
        <v>3.4210571424799698</v>
      </c>
      <c r="AY48" s="251">
        <v>2.3336326510694767</v>
      </c>
      <c r="AZ48" s="109">
        <v>3.2306419605807255</v>
      </c>
      <c r="BA48" s="251">
        <v>2.7</v>
      </c>
      <c r="BB48" s="490"/>
    </row>
    <row r="49" spans="1:54" ht="12" customHeight="1" x14ac:dyDescent="0.25">
      <c r="A49" s="213" t="s">
        <v>36</v>
      </c>
      <c r="B49" s="438">
        <v>44.9</v>
      </c>
      <c r="C49" s="445">
        <v>66.2</v>
      </c>
      <c r="D49" s="252">
        <v>39.1</v>
      </c>
      <c r="E49" s="58">
        <v>46.6</v>
      </c>
      <c r="F49" s="252">
        <v>67.5</v>
      </c>
      <c r="G49" s="252">
        <v>76</v>
      </c>
      <c r="H49" s="252">
        <v>72.8</v>
      </c>
      <c r="I49" s="58">
        <v>73.599999999999994</v>
      </c>
      <c r="J49" s="252">
        <v>76.3</v>
      </c>
      <c r="K49" s="58">
        <v>68.368717989424738</v>
      </c>
      <c r="L49" s="252">
        <v>76.37390553694911</v>
      </c>
      <c r="M49" s="58">
        <v>65.939738183222545</v>
      </c>
      <c r="N49" s="471">
        <v>63.963230690898698</v>
      </c>
      <c r="O49" s="438">
        <v>13.2</v>
      </c>
      <c r="P49" s="446">
        <v>13.3</v>
      </c>
      <c r="Q49" s="446">
        <v>8.9</v>
      </c>
      <c r="R49" s="446">
        <v>9.9</v>
      </c>
      <c r="S49" s="446">
        <v>11.2</v>
      </c>
      <c r="T49" s="446">
        <v>11.7</v>
      </c>
      <c r="U49" s="446">
        <v>11.9</v>
      </c>
      <c r="V49" s="446">
        <v>11.2</v>
      </c>
      <c r="W49" s="447">
        <v>10.1</v>
      </c>
      <c r="X49" s="58">
        <v>13.401346396820552</v>
      </c>
      <c r="Y49" s="439">
        <v>12.786112776298724</v>
      </c>
      <c r="Z49" s="58">
        <v>16.349290018001746</v>
      </c>
      <c r="AA49" s="471">
        <v>18.644999314373255</v>
      </c>
      <c r="AB49" s="438">
        <v>3.3</v>
      </c>
      <c r="AC49" s="446">
        <v>3</v>
      </c>
      <c r="AD49" s="446">
        <v>2.7</v>
      </c>
      <c r="AE49" s="446">
        <v>2.7</v>
      </c>
      <c r="AF49" s="446">
        <v>3</v>
      </c>
      <c r="AG49" s="446">
        <v>3.2</v>
      </c>
      <c r="AH49" s="446">
        <v>3.4</v>
      </c>
      <c r="AI49" s="446">
        <v>3.3</v>
      </c>
      <c r="AJ49" s="447">
        <v>3.3</v>
      </c>
      <c r="AK49" s="440">
        <v>3.8902688754598036</v>
      </c>
      <c r="AL49" s="440">
        <v>3.55580057507875</v>
      </c>
      <c r="AM49" s="440">
        <v>4.2998693342299266</v>
      </c>
      <c r="AN49" s="252">
        <v>5.301832033560081</v>
      </c>
      <c r="AO49" s="252">
        <v>3.1</v>
      </c>
      <c r="AP49" s="441">
        <v>2.5</v>
      </c>
      <c r="AQ49" s="58">
        <v>2</v>
      </c>
      <c r="AR49" s="442">
        <v>2.5</v>
      </c>
      <c r="AS49" s="442">
        <v>2.8</v>
      </c>
      <c r="AT49" s="446">
        <v>2.9</v>
      </c>
      <c r="AU49" s="445">
        <v>3.4</v>
      </c>
      <c r="AV49" s="252">
        <v>3.3</v>
      </c>
      <c r="AW49" s="252">
        <v>3</v>
      </c>
      <c r="AX49" s="58">
        <v>4.505206645074546</v>
      </c>
      <c r="AY49" s="252">
        <v>2.9655989476548137</v>
      </c>
      <c r="AZ49" s="58">
        <v>4.6697224675443811</v>
      </c>
      <c r="BA49" s="252">
        <v>5.3766906711176263</v>
      </c>
      <c r="BB49" s="492"/>
    </row>
    <row r="50" spans="1:54" ht="12" customHeight="1" x14ac:dyDescent="0.25">
      <c r="A50" s="213" t="s">
        <v>37</v>
      </c>
      <c r="B50" s="438">
        <v>67.7</v>
      </c>
      <c r="C50" s="445">
        <v>65.099999999999994</v>
      </c>
      <c r="D50" s="252">
        <v>54</v>
      </c>
      <c r="E50" s="58">
        <v>42.6</v>
      </c>
      <c r="F50" s="252">
        <v>84.1</v>
      </c>
      <c r="G50" s="252">
        <v>94.9</v>
      </c>
      <c r="H50" s="252">
        <v>55.1</v>
      </c>
      <c r="I50" s="58">
        <v>46.5</v>
      </c>
      <c r="J50" s="252">
        <v>99</v>
      </c>
      <c r="K50" s="58">
        <v>95.707407458346566</v>
      </c>
      <c r="L50" s="252">
        <v>98.004007947088226</v>
      </c>
      <c r="M50" s="58">
        <v>90.52402750200082</v>
      </c>
      <c r="N50" s="471" t="s">
        <v>160</v>
      </c>
      <c r="O50" s="438">
        <v>6.4</v>
      </c>
      <c r="P50" s="446">
        <v>24</v>
      </c>
      <c r="Q50" s="446">
        <v>27.9</v>
      </c>
      <c r="R50" s="446">
        <v>34.6</v>
      </c>
      <c r="S50" s="446">
        <v>2.8</v>
      </c>
      <c r="T50" s="446">
        <v>2.7</v>
      </c>
      <c r="U50" s="446">
        <v>27.2</v>
      </c>
      <c r="V50" s="446">
        <v>33.5</v>
      </c>
      <c r="W50" s="447">
        <v>0.6</v>
      </c>
      <c r="X50" s="58">
        <v>1.7803530326578085</v>
      </c>
      <c r="Y50" s="439">
        <v>0.80564896920073281</v>
      </c>
      <c r="Z50" s="58">
        <v>3.6714301231152033</v>
      </c>
      <c r="AA50" s="471" t="s">
        <v>160</v>
      </c>
      <c r="AB50" s="438">
        <v>1.7</v>
      </c>
      <c r="AC50" s="446">
        <v>6.2</v>
      </c>
      <c r="AD50" s="446">
        <v>9.6</v>
      </c>
      <c r="AE50" s="446">
        <v>10.7</v>
      </c>
      <c r="AF50" s="446">
        <v>0.8</v>
      </c>
      <c r="AG50" s="446">
        <v>0.8</v>
      </c>
      <c r="AH50" s="446">
        <v>8.1</v>
      </c>
      <c r="AI50" s="446">
        <v>10.1</v>
      </c>
      <c r="AJ50" s="447">
        <v>0.2</v>
      </c>
      <c r="AK50" s="440">
        <v>0.54029548472123246</v>
      </c>
      <c r="AL50" s="440">
        <v>0.24966242076563833</v>
      </c>
      <c r="AM50" s="440">
        <v>0.93359203194627061</v>
      </c>
      <c r="AN50" s="252">
        <v>1.353394308818372</v>
      </c>
      <c r="AO50" s="252">
        <v>1.3</v>
      </c>
      <c r="AP50" s="441">
        <v>2.2000000000000002</v>
      </c>
      <c r="AQ50" s="58">
        <v>4.0999999999999996</v>
      </c>
      <c r="AR50" s="442">
        <v>5.8</v>
      </c>
      <c r="AS50" s="442">
        <v>0</v>
      </c>
      <c r="AT50" s="446">
        <v>0.7</v>
      </c>
      <c r="AU50" s="445">
        <v>3.8</v>
      </c>
      <c r="AV50" s="252">
        <v>4.9000000000000004</v>
      </c>
      <c r="AW50" s="252">
        <v>0.2</v>
      </c>
      <c r="AX50" s="58">
        <v>1.8110272392755593</v>
      </c>
      <c r="AY50" s="252">
        <v>0.85606653536196231</v>
      </c>
      <c r="AZ50" s="58">
        <v>4.6091738305358172</v>
      </c>
      <c r="BA50" s="252" t="s">
        <v>160</v>
      </c>
      <c r="BB50" s="492"/>
    </row>
    <row r="51" spans="1:54" ht="12" customHeight="1" x14ac:dyDescent="0.25">
      <c r="A51" s="213" t="s">
        <v>81</v>
      </c>
      <c r="B51" s="438">
        <v>72.400000000000006</v>
      </c>
      <c r="C51" s="445">
        <v>67.599999999999994</v>
      </c>
      <c r="D51" s="252">
        <v>86.5</v>
      </c>
      <c r="E51" s="58">
        <v>66.3</v>
      </c>
      <c r="F51" s="252">
        <v>74.400000000000006</v>
      </c>
      <c r="G51" s="252">
        <v>82.7</v>
      </c>
      <c r="H51" s="252">
        <v>73.400000000000006</v>
      </c>
      <c r="I51" s="58">
        <v>81.400000000000006</v>
      </c>
      <c r="J51" s="252">
        <v>79.900000000000006</v>
      </c>
      <c r="K51" s="58">
        <v>80.417875340229983</v>
      </c>
      <c r="L51" s="252">
        <v>67.879251515870251</v>
      </c>
      <c r="M51" s="58">
        <v>8.1857296961975372</v>
      </c>
      <c r="N51" s="471">
        <v>67.946628992272579</v>
      </c>
      <c r="O51" s="438">
        <v>13.7</v>
      </c>
      <c r="P51" s="446">
        <v>16.600000000000001</v>
      </c>
      <c r="Q51" s="446">
        <v>7.6</v>
      </c>
      <c r="R51" s="446">
        <v>8.8000000000000007</v>
      </c>
      <c r="S51" s="446">
        <v>8.6999999999999993</v>
      </c>
      <c r="T51" s="446">
        <v>8.6999999999999993</v>
      </c>
      <c r="U51" s="446">
        <v>10.5</v>
      </c>
      <c r="V51" s="446">
        <v>7.9</v>
      </c>
      <c r="W51" s="447">
        <v>8.9</v>
      </c>
      <c r="X51" s="58">
        <v>7.6744479397900784</v>
      </c>
      <c r="Y51" s="439">
        <v>17.246908832544261</v>
      </c>
      <c r="Z51" s="58">
        <v>8.2765552318590654</v>
      </c>
      <c r="AA51" s="471">
        <v>17.462665139088756</v>
      </c>
      <c r="AB51" s="438">
        <v>3.3</v>
      </c>
      <c r="AC51" s="446">
        <v>4</v>
      </c>
      <c r="AD51" s="446">
        <v>2.5</v>
      </c>
      <c r="AE51" s="446">
        <v>2.4</v>
      </c>
      <c r="AF51" s="446">
        <v>2.5</v>
      </c>
      <c r="AG51" s="446">
        <v>2.2999999999999998</v>
      </c>
      <c r="AH51" s="446">
        <v>2.9</v>
      </c>
      <c r="AI51" s="446">
        <v>2.1</v>
      </c>
      <c r="AJ51" s="447">
        <v>2.6</v>
      </c>
      <c r="AK51" s="440">
        <v>2.2978685369701122</v>
      </c>
      <c r="AL51" s="440">
        <v>5.1471826517460313</v>
      </c>
      <c r="AM51" s="440">
        <v>2.0955373890715134</v>
      </c>
      <c r="AN51" s="252">
        <v>4.3607878928046375</v>
      </c>
      <c r="AO51" s="252">
        <v>1.7</v>
      </c>
      <c r="AP51" s="441">
        <v>5.8</v>
      </c>
      <c r="AQ51" s="58">
        <v>1.1000000000000001</v>
      </c>
      <c r="AR51" s="442">
        <v>1.2</v>
      </c>
      <c r="AS51" s="442">
        <v>0.6</v>
      </c>
      <c r="AT51" s="446">
        <v>1.9</v>
      </c>
      <c r="AU51" s="445">
        <v>2.9</v>
      </c>
      <c r="AV51" s="252">
        <v>4</v>
      </c>
      <c r="AW51" s="252">
        <v>4.5999999999999996</v>
      </c>
      <c r="AX51" s="58">
        <v>3.6524331567393693</v>
      </c>
      <c r="AY51" s="252">
        <v>4.5931053735912997</v>
      </c>
      <c r="AZ51" s="58">
        <v>3.2279441139315677</v>
      </c>
      <c r="BA51" s="252" t="s">
        <v>160</v>
      </c>
      <c r="BB51" s="492"/>
    </row>
    <row r="52" spans="1:54" ht="12" customHeight="1" x14ac:dyDescent="0.25">
      <c r="A52" s="213" t="s">
        <v>82</v>
      </c>
      <c r="B52" s="438">
        <v>81.2</v>
      </c>
      <c r="C52" s="445">
        <v>61.3</v>
      </c>
      <c r="D52" s="252">
        <v>80.900000000000006</v>
      </c>
      <c r="E52" s="58">
        <v>84.3</v>
      </c>
      <c r="F52" s="252">
        <v>81.7</v>
      </c>
      <c r="G52" s="252">
        <v>79.599999999999994</v>
      </c>
      <c r="H52" s="252">
        <v>88.2</v>
      </c>
      <c r="I52" s="58">
        <v>90.3</v>
      </c>
      <c r="J52" s="252">
        <v>77.3</v>
      </c>
      <c r="K52" s="58">
        <v>86.405649972621035</v>
      </c>
      <c r="L52" s="252">
        <v>89.529663571292446</v>
      </c>
      <c r="M52" s="58">
        <v>80.521402572565876</v>
      </c>
      <c r="N52" s="471">
        <v>89.894432775208301</v>
      </c>
      <c r="O52" s="438">
        <v>12.9</v>
      </c>
      <c r="P52" s="446">
        <v>20.399999999999999</v>
      </c>
      <c r="Q52" s="446">
        <v>8.6999999999999993</v>
      </c>
      <c r="R52" s="446">
        <v>5.8</v>
      </c>
      <c r="S52" s="446">
        <v>6.8</v>
      </c>
      <c r="T52" s="446">
        <v>4</v>
      </c>
      <c r="U52" s="446">
        <v>2.2999999999999998</v>
      </c>
      <c r="V52" s="446">
        <v>2.2000000000000002</v>
      </c>
      <c r="W52" s="447">
        <v>2.2000000000000002</v>
      </c>
      <c r="X52" s="58">
        <v>2.1974259630928654</v>
      </c>
      <c r="Y52" s="439">
        <v>1.9289142933328534</v>
      </c>
      <c r="Z52" s="58">
        <v>3.5639131085141296</v>
      </c>
      <c r="AA52" s="471">
        <v>2.5</v>
      </c>
      <c r="AB52" s="438">
        <v>3.2</v>
      </c>
      <c r="AC52" s="446">
        <v>5.0999999999999996</v>
      </c>
      <c r="AD52" s="446">
        <v>2.9</v>
      </c>
      <c r="AE52" s="446">
        <v>1.7</v>
      </c>
      <c r="AF52" s="446">
        <v>1.9</v>
      </c>
      <c r="AG52" s="446">
        <v>1.1000000000000001</v>
      </c>
      <c r="AH52" s="446">
        <v>0.7</v>
      </c>
      <c r="AI52" s="446">
        <v>0.7</v>
      </c>
      <c r="AJ52" s="447">
        <v>0.6</v>
      </c>
      <c r="AK52" s="440">
        <v>0.57758268760984932</v>
      </c>
      <c r="AL52" s="440">
        <v>0.50725946095828722</v>
      </c>
      <c r="AM52" s="440">
        <v>1.0256740260749375</v>
      </c>
      <c r="AN52" s="252">
        <v>0.8</v>
      </c>
      <c r="AO52" s="252">
        <v>0.8</v>
      </c>
      <c r="AP52" s="441">
        <v>4.4000000000000004</v>
      </c>
      <c r="AQ52" s="58">
        <v>3.3</v>
      </c>
      <c r="AR52" s="442">
        <v>2.2999999999999998</v>
      </c>
      <c r="AS52" s="442">
        <v>2.9</v>
      </c>
      <c r="AT52" s="446">
        <v>2.5</v>
      </c>
      <c r="AU52" s="445">
        <v>4.3</v>
      </c>
      <c r="AV52" s="252">
        <v>3.6</v>
      </c>
      <c r="AW52" s="252">
        <v>3</v>
      </c>
      <c r="AX52" s="58">
        <v>2.3579100560290094</v>
      </c>
      <c r="AY52" s="252">
        <v>0.76927567752378789</v>
      </c>
      <c r="AZ52" s="58">
        <v>1.5009426734568514</v>
      </c>
      <c r="BA52" s="252">
        <v>2.2999999999999998</v>
      </c>
      <c r="BB52" s="492"/>
    </row>
    <row r="53" spans="1:54" ht="12" customHeight="1" x14ac:dyDescent="0.25">
      <c r="A53" s="213" t="s">
        <v>38</v>
      </c>
      <c r="B53" s="438">
        <v>62</v>
      </c>
      <c r="C53" s="445">
        <v>63.6</v>
      </c>
      <c r="D53" s="252">
        <v>54.3</v>
      </c>
      <c r="E53" s="58">
        <v>72.900000000000006</v>
      </c>
      <c r="F53" s="252">
        <v>73.8</v>
      </c>
      <c r="G53" s="252">
        <v>75.900000000000006</v>
      </c>
      <c r="H53" s="252">
        <v>77.8</v>
      </c>
      <c r="I53" s="58">
        <v>82.4</v>
      </c>
      <c r="J53" s="252">
        <v>59.2</v>
      </c>
      <c r="K53" s="58">
        <v>72.65198593420412</v>
      </c>
      <c r="L53" s="252">
        <v>66.639704740474954</v>
      </c>
      <c r="M53" s="58">
        <v>61.690896706651444</v>
      </c>
      <c r="N53" s="471">
        <v>65.408801665611605</v>
      </c>
      <c r="O53" s="438">
        <v>21.9</v>
      </c>
      <c r="P53" s="446">
        <v>19</v>
      </c>
      <c r="Q53" s="446">
        <v>17.2</v>
      </c>
      <c r="R53" s="446">
        <v>8.9</v>
      </c>
      <c r="S53" s="446">
        <v>11.5</v>
      </c>
      <c r="T53" s="446">
        <v>10.5</v>
      </c>
      <c r="U53" s="446">
        <v>10.199999999999999</v>
      </c>
      <c r="V53" s="446">
        <v>8.1</v>
      </c>
      <c r="W53" s="447">
        <v>16.899999999999999</v>
      </c>
      <c r="X53" s="58">
        <v>14.910072712471029</v>
      </c>
      <c r="Y53" s="439">
        <v>16.077456571295969</v>
      </c>
      <c r="Z53" s="58">
        <v>15.831488554629678</v>
      </c>
      <c r="AA53" s="471">
        <v>16.61822515376403</v>
      </c>
      <c r="AB53" s="438">
        <v>5.3</v>
      </c>
      <c r="AC53" s="446">
        <v>4.5</v>
      </c>
      <c r="AD53" s="446">
        <v>5.6</v>
      </c>
      <c r="AE53" s="446">
        <v>2.6</v>
      </c>
      <c r="AF53" s="446">
        <v>3.2</v>
      </c>
      <c r="AG53" s="446">
        <v>3</v>
      </c>
      <c r="AH53" s="446">
        <v>2.9</v>
      </c>
      <c r="AI53" s="446">
        <v>1.8</v>
      </c>
      <c r="AJ53" s="447">
        <v>5.2</v>
      </c>
      <c r="AK53" s="440">
        <v>4.4861370884722707</v>
      </c>
      <c r="AL53" s="440">
        <v>4.896649762087943</v>
      </c>
      <c r="AM53" s="440">
        <v>4.671346794588529</v>
      </c>
      <c r="AN53" s="252">
        <v>4.2037215141729121</v>
      </c>
      <c r="AO53" s="252">
        <v>3.4</v>
      </c>
      <c r="AP53" s="441">
        <v>2</v>
      </c>
      <c r="AQ53" s="58">
        <v>5.9</v>
      </c>
      <c r="AR53" s="442">
        <v>3.1</v>
      </c>
      <c r="AS53" s="442">
        <v>2.9</v>
      </c>
      <c r="AT53" s="446">
        <v>3.4</v>
      </c>
      <c r="AU53" s="445">
        <v>2.6</v>
      </c>
      <c r="AV53" s="252">
        <v>2.5</v>
      </c>
      <c r="AW53" s="252">
        <v>4.9000000000000004</v>
      </c>
      <c r="AX53" s="58">
        <v>2.6904572789471231</v>
      </c>
      <c r="AY53" s="252">
        <v>5.256314944171173</v>
      </c>
      <c r="AZ53" s="58">
        <v>7.9892902507098951</v>
      </c>
      <c r="BA53" s="252">
        <v>7.5</v>
      </c>
      <c r="BB53" s="492"/>
    </row>
    <row r="54" spans="1:54" ht="12" customHeight="1" x14ac:dyDescent="0.25">
      <c r="A54" s="213" t="s">
        <v>93</v>
      </c>
      <c r="B54" s="438" t="s">
        <v>39</v>
      </c>
      <c r="C54" s="445">
        <v>69.7</v>
      </c>
      <c r="D54" s="252">
        <v>62.9</v>
      </c>
      <c r="E54" s="58">
        <v>84.6</v>
      </c>
      <c r="F54" s="252">
        <v>89.1</v>
      </c>
      <c r="G54" s="252">
        <v>89.5</v>
      </c>
      <c r="H54" s="252">
        <v>76.3</v>
      </c>
      <c r="I54" s="58">
        <v>90.7</v>
      </c>
      <c r="J54" s="252">
        <v>83.7</v>
      </c>
      <c r="K54" s="58">
        <v>82.825975387775756</v>
      </c>
      <c r="L54" s="252">
        <v>74.48912739370364</v>
      </c>
      <c r="M54" s="58">
        <v>62.626321370340484</v>
      </c>
      <c r="N54" s="471">
        <v>92.53006194869829</v>
      </c>
      <c r="O54" s="438" t="s">
        <v>39</v>
      </c>
      <c r="P54" s="446">
        <v>3.4</v>
      </c>
      <c r="Q54" s="446">
        <v>3.2</v>
      </c>
      <c r="R54" s="446">
        <v>4.4000000000000004</v>
      </c>
      <c r="S54" s="446">
        <v>3.7</v>
      </c>
      <c r="T54" s="446">
        <v>3.1</v>
      </c>
      <c r="U54" s="446">
        <v>4.0999999999999996</v>
      </c>
      <c r="V54" s="446">
        <v>2.6</v>
      </c>
      <c r="W54" s="447">
        <v>4.8</v>
      </c>
      <c r="X54" s="58">
        <v>2.5017775842403394</v>
      </c>
      <c r="Y54" s="439">
        <v>5.1046764130199795</v>
      </c>
      <c r="Z54" s="58">
        <v>7.4412468875450806</v>
      </c>
      <c r="AA54" s="471" t="s">
        <v>160</v>
      </c>
      <c r="AB54" s="438" t="s">
        <v>39</v>
      </c>
      <c r="AC54" s="446">
        <v>0.9</v>
      </c>
      <c r="AD54" s="446">
        <v>1</v>
      </c>
      <c r="AE54" s="446">
        <v>1.2</v>
      </c>
      <c r="AF54" s="446">
        <v>1.1000000000000001</v>
      </c>
      <c r="AG54" s="446">
        <v>0.9</v>
      </c>
      <c r="AH54" s="446">
        <v>1.1000000000000001</v>
      </c>
      <c r="AI54" s="446">
        <v>0.8</v>
      </c>
      <c r="AJ54" s="447">
        <v>1.4</v>
      </c>
      <c r="AK54" s="440">
        <v>0.72200365188465487</v>
      </c>
      <c r="AL54" s="440">
        <v>1.508826252052724</v>
      </c>
      <c r="AM54" s="440">
        <v>2.1793749012134622</v>
      </c>
      <c r="AN54" s="252">
        <v>0.96339398763776762</v>
      </c>
      <c r="AO54" s="252" t="s">
        <v>39</v>
      </c>
      <c r="AP54" s="441">
        <v>1.1000000000000001</v>
      </c>
      <c r="AQ54" s="58">
        <v>1.4</v>
      </c>
      <c r="AR54" s="442">
        <v>2</v>
      </c>
      <c r="AS54" s="442">
        <v>2.5</v>
      </c>
      <c r="AT54" s="446">
        <v>3.5</v>
      </c>
      <c r="AU54" s="445">
        <v>3.6</v>
      </c>
      <c r="AV54" s="252">
        <v>2.2999999999999998</v>
      </c>
      <c r="AW54" s="252">
        <v>2.7</v>
      </c>
      <c r="AX54" s="58">
        <v>1.8875904693540349</v>
      </c>
      <c r="AY54" s="252">
        <v>2.6074550663034732</v>
      </c>
      <c r="AZ54" s="58">
        <v>3.9816204223549487</v>
      </c>
      <c r="BA54" s="252" t="s">
        <v>160</v>
      </c>
      <c r="BB54" s="492"/>
    </row>
    <row r="55" spans="1:54" ht="12" customHeight="1" x14ac:dyDescent="0.25">
      <c r="A55" s="213" t="s">
        <v>40</v>
      </c>
      <c r="B55" s="438">
        <v>67.8</v>
      </c>
      <c r="C55" s="445">
        <v>57.5</v>
      </c>
      <c r="D55" s="252">
        <v>55.2</v>
      </c>
      <c r="E55" s="58">
        <v>52.8</v>
      </c>
      <c r="F55" s="252">
        <v>49.2</v>
      </c>
      <c r="G55" s="252">
        <v>65.099999999999994</v>
      </c>
      <c r="H55" s="252">
        <v>67.8</v>
      </c>
      <c r="I55" s="58">
        <v>64.099999999999994</v>
      </c>
      <c r="J55" s="252">
        <v>66.400000000000006</v>
      </c>
      <c r="K55" s="58">
        <v>64.935080556335151</v>
      </c>
      <c r="L55" s="252">
        <v>70.303912654632711</v>
      </c>
      <c r="M55" s="58">
        <v>59.355774800569286</v>
      </c>
      <c r="N55" s="471" t="s">
        <v>160</v>
      </c>
      <c r="O55" s="438">
        <v>18.399999999999999</v>
      </c>
      <c r="P55" s="446">
        <v>15.9</v>
      </c>
      <c r="Q55" s="446">
        <v>18.8</v>
      </c>
      <c r="R55" s="446">
        <v>17.8</v>
      </c>
      <c r="S55" s="446">
        <v>19.399999999999999</v>
      </c>
      <c r="T55" s="446">
        <v>14.8</v>
      </c>
      <c r="U55" s="446">
        <v>14.1</v>
      </c>
      <c r="V55" s="446">
        <v>17</v>
      </c>
      <c r="W55" s="447">
        <v>16.3</v>
      </c>
      <c r="X55" s="58">
        <v>16.127166553070698</v>
      </c>
      <c r="Y55" s="439">
        <v>16.155826733233635</v>
      </c>
      <c r="Z55" s="58">
        <v>17.18203808272753</v>
      </c>
      <c r="AA55" s="471">
        <v>20.67985476698124</v>
      </c>
      <c r="AB55" s="438">
        <v>4.0999999999999996</v>
      </c>
      <c r="AC55" s="446">
        <v>3.7</v>
      </c>
      <c r="AD55" s="446">
        <v>5.9</v>
      </c>
      <c r="AE55" s="446">
        <v>5.0999999999999996</v>
      </c>
      <c r="AF55" s="446">
        <v>5.3</v>
      </c>
      <c r="AG55" s="446">
        <v>4.4000000000000004</v>
      </c>
      <c r="AH55" s="446">
        <v>4</v>
      </c>
      <c r="AI55" s="446">
        <v>5</v>
      </c>
      <c r="AJ55" s="447">
        <v>4.7</v>
      </c>
      <c r="AK55" s="440">
        <v>4.5751709262122349</v>
      </c>
      <c r="AL55" s="440">
        <v>4.5703193066993908</v>
      </c>
      <c r="AM55" s="440">
        <v>4.3453115718254098</v>
      </c>
      <c r="AN55" s="252">
        <v>5.3969225410893706</v>
      </c>
      <c r="AO55" s="252">
        <v>2.1</v>
      </c>
      <c r="AP55" s="441">
        <v>2.4</v>
      </c>
      <c r="AQ55" s="58">
        <v>3</v>
      </c>
      <c r="AR55" s="442">
        <v>3.3</v>
      </c>
      <c r="AS55" s="442">
        <v>3.6</v>
      </c>
      <c r="AT55" s="446">
        <v>3</v>
      </c>
      <c r="AU55" s="445">
        <v>3.4</v>
      </c>
      <c r="AV55" s="252">
        <v>4.0999999999999996</v>
      </c>
      <c r="AW55" s="252">
        <v>3</v>
      </c>
      <c r="AX55" s="58">
        <v>4.8539472895914839</v>
      </c>
      <c r="AY55" s="252">
        <v>2.5490571886950124</v>
      </c>
      <c r="AZ55" s="58">
        <v>2.0692913718136507</v>
      </c>
      <c r="BA55" s="252">
        <v>2.9</v>
      </c>
      <c r="BB55" s="492"/>
    </row>
    <row r="56" spans="1:54" s="25" customFormat="1" ht="21" customHeight="1" x14ac:dyDescent="0.25">
      <c r="A56" s="427" t="s">
        <v>146</v>
      </c>
      <c r="B56" s="434">
        <v>62.6</v>
      </c>
      <c r="C56" s="448">
        <v>60.4</v>
      </c>
      <c r="D56" s="251">
        <v>63.3</v>
      </c>
      <c r="E56" s="109">
        <v>61.2</v>
      </c>
      <c r="F56" s="251">
        <v>58.9</v>
      </c>
      <c r="G56" s="251">
        <v>61.1</v>
      </c>
      <c r="H56" s="251">
        <v>59.4</v>
      </c>
      <c r="I56" s="109">
        <v>61.8</v>
      </c>
      <c r="J56" s="251">
        <v>60.7</v>
      </c>
      <c r="K56" s="109">
        <v>59.476655376861402</v>
      </c>
      <c r="L56" s="251">
        <v>60.362913297717633</v>
      </c>
      <c r="M56" s="109">
        <v>58.748060523402671</v>
      </c>
      <c r="N56" s="480">
        <v>58.087432875247046</v>
      </c>
      <c r="O56" s="434">
        <v>20</v>
      </c>
      <c r="P56" s="449">
        <v>18.899999999999999</v>
      </c>
      <c r="Q56" s="449">
        <v>17.399999999999999</v>
      </c>
      <c r="R56" s="449">
        <v>16.3</v>
      </c>
      <c r="S56" s="449">
        <v>16.600000000000001</v>
      </c>
      <c r="T56" s="449">
        <v>18.100000000000001</v>
      </c>
      <c r="U56" s="449">
        <v>19.3</v>
      </c>
      <c r="V56" s="449">
        <v>18.2</v>
      </c>
      <c r="W56" s="450">
        <v>18.5</v>
      </c>
      <c r="X56" s="109">
        <v>19.112600398738508</v>
      </c>
      <c r="Y56" s="415">
        <v>20.181716210579278</v>
      </c>
      <c r="Z56" s="109">
        <v>21.372973512111219</v>
      </c>
      <c r="AA56" s="480">
        <v>22.132329644338931</v>
      </c>
      <c r="AB56" s="434">
        <v>4.9000000000000004</v>
      </c>
      <c r="AC56" s="449">
        <v>4.4000000000000004</v>
      </c>
      <c r="AD56" s="449">
        <v>5.2</v>
      </c>
      <c r="AE56" s="449">
        <v>4.5</v>
      </c>
      <c r="AF56" s="449">
        <v>4.5</v>
      </c>
      <c r="AG56" s="449">
        <v>5.0999999999999996</v>
      </c>
      <c r="AH56" s="449">
        <v>5.4</v>
      </c>
      <c r="AI56" s="449">
        <v>5.0999999999999996</v>
      </c>
      <c r="AJ56" s="450">
        <v>5.0999999999999996</v>
      </c>
      <c r="AK56" s="437">
        <v>5.3077649920839614</v>
      </c>
      <c r="AL56" s="437">
        <v>5.6324430698354941</v>
      </c>
      <c r="AM56" s="437">
        <v>5.5901541260393035</v>
      </c>
      <c r="AN56" s="251">
        <v>5.5901584476720245</v>
      </c>
      <c r="AO56" s="251">
        <v>2.2000000000000002</v>
      </c>
      <c r="AP56" s="435">
        <v>2.8</v>
      </c>
      <c r="AQ56" s="109">
        <v>2.6</v>
      </c>
      <c r="AR56" s="436">
        <v>2.6</v>
      </c>
      <c r="AS56" s="436">
        <v>2.7</v>
      </c>
      <c r="AT56" s="449">
        <v>2.8</v>
      </c>
      <c r="AU56" s="448">
        <v>3.4</v>
      </c>
      <c r="AV56" s="251">
        <v>3.1</v>
      </c>
      <c r="AW56" s="251">
        <v>3.1</v>
      </c>
      <c r="AX56" s="109">
        <v>2.9344413695160574</v>
      </c>
      <c r="AY56" s="251">
        <v>2.8982082225278951</v>
      </c>
      <c r="AZ56" s="109">
        <v>3.6346568718857943</v>
      </c>
      <c r="BA56" s="251">
        <v>3.8</v>
      </c>
      <c r="BB56" s="490"/>
    </row>
    <row r="57" spans="1:54" ht="12" customHeight="1" x14ac:dyDescent="0.25">
      <c r="A57" s="213" t="s">
        <v>41</v>
      </c>
      <c r="B57" s="438">
        <v>59.1</v>
      </c>
      <c r="C57" s="445">
        <v>59.4</v>
      </c>
      <c r="D57" s="252">
        <v>60.4</v>
      </c>
      <c r="E57" s="58">
        <v>55.6</v>
      </c>
      <c r="F57" s="252">
        <v>56.4</v>
      </c>
      <c r="G57" s="252">
        <v>61.9</v>
      </c>
      <c r="H57" s="252">
        <v>60.6</v>
      </c>
      <c r="I57" s="58">
        <v>60.1</v>
      </c>
      <c r="J57" s="252">
        <v>56.7</v>
      </c>
      <c r="K57" s="58">
        <v>57.877178558074164</v>
      </c>
      <c r="L57" s="252">
        <v>56.211725070131145</v>
      </c>
      <c r="M57" s="58">
        <v>50.777476254732456</v>
      </c>
      <c r="N57" s="471">
        <v>52.137286317274288</v>
      </c>
      <c r="O57" s="438">
        <v>23.7</v>
      </c>
      <c r="P57" s="446">
        <v>22.4</v>
      </c>
      <c r="Q57" s="446">
        <v>21.5</v>
      </c>
      <c r="R57" s="446">
        <v>22</v>
      </c>
      <c r="S57" s="446">
        <v>21.4</v>
      </c>
      <c r="T57" s="446">
        <v>19.7</v>
      </c>
      <c r="U57" s="446">
        <v>20</v>
      </c>
      <c r="V57" s="446">
        <v>19.899999999999999</v>
      </c>
      <c r="W57" s="447">
        <v>22.8</v>
      </c>
      <c r="X57" s="58">
        <v>21.290837462215187</v>
      </c>
      <c r="Y57" s="439">
        <v>24.158409733397722</v>
      </c>
      <c r="Z57" s="58">
        <v>26.605189694932125</v>
      </c>
      <c r="AA57" s="471">
        <v>26.6925612545703</v>
      </c>
      <c r="AB57" s="438">
        <v>6.4</v>
      </c>
      <c r="AC57" s="446">
        <v>5.3</v>
      </c>
      <c r="AD57" s="446">
        <v>6.3</v>
      </c>
      <c r="AE57" s="446">
        <v>5.9</v>
      </c>
      <c r="AF57" s="446">
        <v>5.9</v>
      </c>
      <c r="AG57" s="446">
        <v>5.6</v>
      </c>
      <c r="AH57" s="446">
        <v>5.8</v>
      </c>
      <c r="AI57" s="446">
        <v>5.7</v>
      </c>
      <c r="AJ57" s="440">
        <v>6.3</v>
      </c>
      <c r="AK57" s="440">
        <v>6.1794559561454561</v>
      </c>
      <c r="AL57" s="440">
        <v>6.8732926887823229</v>
      </c>
      <c r="AM57" s="440">
        <v>7.4858150244495354</v>
      </c>
      <c r="AN57" s="252">
        <v>6.970349954033761</v>
      </c>
      <c r="AO57" s="252">
        <v>2.2999999999999998</v>
      </c>
      <c r="AP57" s="441">
        <v>2.1</v>
      </c>
      <c r="AQ57" s="58">
        <v>1.9</v>
      </c>
      <c r="AR57" s="442">
        <v>2.7</v>
      </c>
      <c r="AS57" s="442">
        <v>2.7</v>
      </c>
      <c r="AT57" s="446">
        <v>2</v>
      </c>
      <c r="AU57" s="445">
        <v>2.7</v>
      </c>
      <c r="AV57" s="252">
        <v>2.5</v>
      </c>
      <c r="AW57" s="252">
        <v>3.1</v>
      </c>
      <c r="AX57" s="58">
        <v>2.3256581316541189</v>
      </c>
      <c r="AY57" s="252">
        <v>2.4711615372637215</v>
      </c>
      <c r="AZ57" s="58">
        <v>3.1132658976033394</v>
      </c>
      <c r="BA57" s="252">
        <v>3.8</v>
      </c>
      <c r="BB57" s="492"/>
    </row>
    <row r="58" spans="1:54" ht="12" customHeight="1" x14ac:dyDescent="0.25">
      <c r="A58" s="213" t="s">
        <v>42</v>
      </c>
      <c r="B58" s="438">
        <v>63.6</v>
      </c>
      <c r="C58" s="445">
        <v>57.8</v>
      </c>
      <c r="D58" s="252">
        <v>62.1</v>
      </c>
      <c r="E58" s="58">
        <v>55.6</v>
      </c>
      <c r="F58" s="252">
        <v>63.6</v>
      </c>
      <c r="G58" s="252">
        <v>63.9</v>
      </c>
      <c r="H58" s="252">
        <v>55.8</v>
      </c>
      <c r="I58" s="58">
        <v>54.2</v>
      </c>
      <c r="J58" s="252">
        <v>60</v>
      </c>
      <c r="K58" s="58">
        <v>61.878405966729069</v>
      </c>
      <c r="L58" s="252">
        <v>69.812081560218346</v>
      </c>
      <c r="M58" s="58">
        <v>73.869692587007563</v>
      </c>
      <c r="N58" s="471">
        <v>66.31244844888441</v>
      </c>
      <c r="O58" s="438">
        <v>24.1</v>
      </c>
      <c r="P58" s="446">
        <v>26.2</v>
      </c>
      <c r="Q58" s="446">
        <v>21.5</v>
      </c>
      <c r="R58" s="446">
        <v>25.4</v>
      </c>
      <c r="S58" s="446">
        <v>20.100000000000001</v>
      </c>
      <c r="T58" s="446">
        <v>21.5</v>
      </c>
      <c r="U58" s="446">
        <v>24.7</v>
      </c>
      <c r="V58" s="446">
        <v>24.2</v>
      </c>
      <c r="W58" s="447">
        <v>20</v>
      </c>
      <c r="X58" s="58">
        <v>19.959513433912328</v>
      </c>
      <c r="Y58" s="439">
        <v>15.011237406554514</v>
      </c>
      <c r="Z58" s="58">
        <v>12.961292274541481</v>
      </c>
      <c r="AA58" s="471">
        <v>14.941109797399363</v>
      </c>
      <c r="AB58" s="438">
        <v>6</v>
      </c>
      <c r="AC58" s="446">
        <v>6.6</v>
      </c>
      <c r="AD58" s="446">
        <v>7.1</v>
      </c>
      <c r="AE58" s="446">
        <v>7.7</v>
      </c>
      <c r="AF58" s="446">
        <v>6</v>
      </c>
      <c r="AG58" s="446">
        <v>6.3</v>
      </c>
      <c r="AH58" s="446">
        <v>7.1</v>
      </c>
      <c r="AI58" s="446">
        <v>7.1</v>
      </c>
      <c r="AJ58" s="440">
        <v>6</v>
      </c>
      <c r="AK58" s="440">
        <v>6.0563788514596268</v>
      </c>
      <c r="AL58" s="440">
        <v>4.7482569574449007</v>
      </c>
      <c r="AM58" s="440">
        <v>3.3174327693656886</v>
      </c>
      <c r="AN58" s="252">
        <v>4.0791909766529431</v>
      </c>
      <c r="AO58" s="252">
        <v>1.9</v>
      </c>
      <c r="AP58" s="441">
        <v>2.4</v>
      </c>
      <c r="AQ58" s="58">
        <v>2.1</v>
      </c>
      <c r="AR58" s="442">
        <v>2.8</v>
      </c>
      <c r="AS58" s="442">
        <v>2.5</v>
      </c>
      <c r="AT58" s="446">
        <v>2.5</v>
      </c>
      <c r="AU58" s="445">
        <v>3.3</v>
      </c>
      <c r="AV58" s="252">
        <v>3.9</v>
      </c>
      <c r="AW58" s="252">
        <v>3.1</v>
      </c>
      <c r="AX58" s="58">
        <v>3.2551098370762777</v>
      </c>
      <c r="AY58" s="252">
        <v>3.3753522158845248</v>
      </c>
      <c r="AZ58" s="58">
        <v>3.8310562320882693</v>
      </c>
      <c r="BA58" s="252">
        <v>5.5</v>
      </c>
      <c r="BB58" s="492"/>
    </row>
    <row r="59" spans="1:54" ht="12" customHeight="1" x14ac:dyDescent="0.25">
      <c r="A59" s="213" t="s">
        <v>43</v>
      </c>
      <c r="B59" s="438">
        <v>65.2</v>
      </c>
      <c r="C59" s="445">
        <v>62</v>
      </c>
      <c r="D59" s="252">
        <v>58.9</v>
      </c>
      <c r="E59" s="58">
        <v>60.2</v>
      </c>
      <c r="F59" s="252">
        <v>63</v>
      </c>
      <c r="G59" s="252">
        <v>63.9</v>
      </c>
      <c r="H59" s="252">
        <v>70.400000000000006</v>
      </c>
      <c r="I59" s="58">
        <v>65.7</v>
      </c>
      <c r="J59" s="252">
        <v>61.3</v>
      </c>
      <c r="K59" s="58">
        <v>57.155694494539866</v>
      </c>
      <c r="L59" s="252">
        <v>69.572798648800699</v>
      </c>
      <c r="M59" s="58">
        <v>68.745725754928202</v>
      </c>
      <c r="N59" s="471">
        <v>68.955846778184082</v>
      </c>
      <c r="O59" s="438">
        <v>18.3</v>
      </c>
      <c r="P59" s="446">
        <v>18.2</v>
      </c>
      <c r="Q59" s="446">
        <v>20.8</v>
      </c>
      <c r="R59" s="446">
        <v>18.8</v>
      </c>
      <c r="S59" s="446">
        <v>16.7</v>
      </c>
      <c r="T59" s="446">
        <v>19.100000000000001</v>
      </c>
      <c r="U59" s="446">
        <v>14.9</v>
      </c>
      <c r="V59" s="446">
        <v>16.7</v>
      </c>
      <c r="W59" s="447">
        <v>17.600000000000001</v>
      </c>
      <c r="X59" s="58">
        <v>20.812857019010274</v>
      </c>
      <c r="Y59" s="439">
        <v>15.337233625692297</v>
      </c>
      <c r="Z59" s="58">
        <v>17.13871976141915</v>
      </c>
      <c r="AA59" s="471">
        <v>18.631341583692791</v>
      </c>
      <c r="AB59" s="438">
        <v>4.5</v>
      </c>
      <c r="AC59" s="446">
        <v>4.5</v>
      </c>
      <c r="AD59" s="446">
        <v>6.6</v>
      </c>
      <c r="AE59" s="446">
        <v>5.4</v>
      </c>
      <c r="AF59" s="446">
        <v>4.8</v>
      </c>
      <c r="AG59" s="446">
        <v>5.8</v>
      </c>
      <c r="AH59" s="446">
        <v>4.5999999999999996</v>
      </c>
      <c r="AI59" s="446">
        <v>5</v>
      </c>
      <c r="AJ59" s="440">
        <v>5.5</v>
      </c>
      <c r="AK59" s="440">
        <v>6.3766321131428469</v>
      </c>
      <c r="AL59" s="440">
        <v>4.5521835296366184</v>
      </c>
      <c r="AM59" s="440">
        <v>4.6246824390996171</v>
      </c>
      <c r="AN59" s="252">
        <v>4.9155206975867438</v>
      </c>
      <c r="AO59" s="252">
        <v>3</v>
      </c>
      <c r="AP59" s="441">
        <v>2.7</v>
      </c>
      <c r="AQ59" s="58">
        <v>2.5</v>
      </c>
      <c r="AR59" s="442">
        <v>2.7</v>
      </c>
      <c r="AS59" s="442">
        <v>3.1</v>
      </c>
      <c r="AT59" s="446">
        <v>3.2</v>
      </c>
      <c r="AU59" s="445">
        <v>2.2999999999999998</v>
      </c>
      <c r="AV59" s="252">
        <v>2.8</v>
      </c>
      <c r="AW59" s="252">
        <v>3</v>
      </c>
      <c r="AX59" s="58">
        <v>3.5214809309960673</v>
      </c>
      <c r="AY59" s="252">
        <v>2.3533481264632754</v>
      </c>
      <c r="AZ59" s="58">
        <v>1.8718541034491953</v>
      </c>
      <c r="BA59" s="252">
        <v>2.1</v>
      </c>
      <c r="BB59" s="492"/>
    </row>
    <row r="60" spans="1:54" ht="12" customHeight="1" x14ac:dyDescent="0.25">
      <c r="A60" s="213" t="s">
        <v>44</v>
      </c>
      <c r="B60" s="438">
        <v>68.400000000000006</v>
      </c>
      <c r="C60" s="445">
        <v>65.3</v>
      </c>
      <c r="D60" s="252">
        <v>69.2</v>
      </c>
      <c r="E60" s="58">
        <v>63.5</v>
      </c>
      <c r="F60" s="252">
        <v>63.8</v>
      </c>
      <c r="G60" s="252">
        <v>63</v>
      </c>
      <c r="H60" s="252">
        <v>63.4</v>
      </c>
      <c r="I60" s="58">
        <v>66.599999999999994</v>
      </c>
      <c r="J60" s="252">
        <v>63.6</v>
      </c>
      <c r="K60" s="58">
        <v>60.389072573437971</v>
      </c>
      <c r="L60" s="252">
        <v>63.115250868099068</v>
      </c>
      <c r="M60" s="58">
        <v>62.213880504474027</v>
      </c>
      <c r="N60" s="471">
        <v>60.133328698525268</v>
      </c>
      <c r="O60" s="438">
        <v>14.5</v>
      </c>
      <c r="P60" s="446">
        <v>14.5</v>
      </c>
      <c r="Q60" s="446">
        <v>14</v>
      </c>
      <c r="R60" s="446">
        <v>12.9</v>
      </c>
      <c r="S60" s="446">
        <v>13.9</v>
      </c>
      <c r="T60" s="446">
        <v>15.6</v>
      </c>
      <c r="U60" s="446">
        <v>16.7</v>
      </c>
      <c r="V60" s="446">
        <v>15.8</v>
      </c>
      <c r="W60" s="447">
        <v>17.399999999999999</v>
      </c>
      <c r="X60" s="58">
        <v>18.949016368191952</v>
      </c>
      <c r="Y60" s="439">
        <v>19.262655983497385</v>
      </c>
      <c r="Z60" s="58">
        <v>20.25229303988954</v>
      </c>
      <c r="AA60" s="471">
        <v>22.198191430079948</v>
      </c>
      <c r="AB60" s="438">
        <v>3.5</v>
      </c>
      <c r="AC60" s="446">
        <v>3.4</v>
      </c>
      <c r="AD60" s="446">
        <v>4.2</v>
      </c>
      <c r="AE60" s="446">
        <v>3.6</v>
      </c>
      <c r="AF60" s="446">
        <v>3.8</v>
      </c>
      <c r="AG60" s="446">
        <v>4.4000000000000004</v>
      </c>
      <c r="AH60" s="446">
        <v>4.5999999999999996</v>
      </c>
      <c r="AI60" s="446">
        <v>4.2</v>
      </c>
      <c r="AJ60" s="440">
        <v>4.8</v>
      </c>
      <c r="AK60" s="440">
        <v>5.1638927904133336</v>
      </c>
      <c r="AL60" s="440">
        <v>5.2927918055600198</v>
      </c>
      <c r="AM60" s="440">
        <v>5.1967544804072565</v>
      </c>
      <c r="AN60" s="252">
        <v>5.425768614867776</v>
      </c>
      <c r="AO60" s="252">
        <v>2</v>
      </c>
      <c r="AP60" s="441">
        <v>2.7</v>
      </c>
      <c r="AQ60" s="58">
        <v>2.2999999999999998</v>
      </c>
      <c r="AR60" s="442">
        <v>2.8</v>
      </c>
      <c r="AS60" s="442">
        <v>2.8</v>
      </c>
      <c r="AT60" s="446">
        <v>2.6</v>
      </c>
      <c r="AU60" s="445">
        <v>2.4</v>
      </c>
      <c r="AV60" s="252">
        <v>2</v>
      </c>
      <c r="AW60" s="252">
        <v>2.4</v>
      </c>
      <c r="AX60" s="58">
        <v>2.9828207183849478</v>
      </c>
      <c r="AY60" s="252">
        <v>2.8901250947217085</v>
      </c>
      <c r="AZ60" s="58">
        <v>2.8147186426000297</v>
      </c>
      <c r="BA60" s="252">
        <v>2.8</v>
      </c>
      <c r="BB60" s="492"/>
    </row>
    <row r="61" spans="1:54" ht="12" customHeight="1" x14ac:dyDescent="0.25">
      <c r="A61" s="213" t="s">
        <v>45</v>
      </c>
      <c r="B61" s="438">
        <v>56.1</v>
      </c>
      <c r="C61" s="445">
        <v>62.2</v>
      </c>
      <c r="D61" s="252">
        <v>65.7</v>
      </c>
      <c r="E61" s="58">
        <v>65.7</v>
      </c>
      <c r="F61" s="252">
        <v>62.1</v>
      </c>
      <c r="G61" s="252">
        <v>62.8</v>
      </c>
      <c r="H61" s="252">
        <v>58</v>
      </c>
      <c r="I61" s="58">
        <v>61.9</v>
      </c>
      <c r="J61" s="252">
        <v>67.7</v>
      </c>
      <c r="K61" s="58">
        <v>54.716537716945169</v>
      </c>
      <c r="L61" s="252">
        <v>58.656382575435337</v>
      </c>
      <c r="M61" s="58">
        <v>63.672952687809435</v>
      </c>
      <c r="N61" s="471">
        <v>62.694161461398558</v>
      </c>
      <c r="O61" s="438">
        <v>24.5</v>
      </c>
      <c r="P61" s="446">
        <v>21.3</v>
      </c>
      <c r="Q61" s="446">
        <v>19</v>
      </c>
      <c r="R61" s="446">
        <v>17.5</v>
      </c>
      <c r="S61" s="446">
        <v>19</v>
      </c>
      <c r="T61" s="446">
        <v>20.7</v>
      </c>
      <c r="U61" s="446">
        <v>23.7</v>
      </c>
      <c r="V61" s="446">
        <v>21.2</v>
      </c>
      <c r="W61" s="447">
        <v>17.600000000000001</v>
      </c>
      <c r="X61" s="58">
        <v>24.613287809443463</v>
      </c>
      <c r="Y61" s="439">
        <v>24.13485603560218</v>
      </c>
      <c r="Z61" s="58">
        <v>19.703003157879749</v>
      </c>
      <c r="AA61" s="471">
        <v>19.913909864331718</v>
      </c>
      <c r="AB61" s="438">
        <v>5.8</v>
      </c>
      <c r="AC61" s="446">
        <v>5</v>
      </c>
      <c r="AD61" s="446">
        <v>5.8</v>
      </c>
      <c r="AE61" s="446">
        <v>4.9000000000000004</v>
      </c>
      <c r="AF61" s="446">
        <v>5.3</v>
      </c>
      <c r="AG61" s="446">
        <v>5.8</v>
      </c>
      <c r="AH61" s="446">
        <v>6.8</v>
      </c>
      <c r="AI61" s="446">
        <v>6.1</v>
      </c>
      <c r="AJ61" s="440">
        <v>5</v>
      </c>
      <c r="AK61" s="440">
        <v>7.0297059996147979</v>
      </c>
      <c r="AL61" s="440">
        <v>6.7748313054393039</v>
      </c>
      <c r="AM61" s="440">
        <v>5.3724211384162173</v>
      </c>
      <c r="AN61" s="252">
        <v>5.4917497518729617</v>
      </c>
      <c r="AO61" s="252">
        <v>3.1</v>
      </c>
      <c r="AP61" s="441">
        <v>2.1</v>
      </c>
      <c r="AQ61" s="58">
        <v>2</v>
      </c>
      <c r="AR61" s="442">
        <v>1.9</v>
      </c>
      <c r="AS61" s="442">
        <v>2.4</v>
      </c>
      <c r="AT61" s="446">
        <v>1.9</v>
      </c>
      <c r="AU61" s="445">
        <v>2.4</v>
      </c>
      <c r="AV61" s="252">
        <v>2.1</v>
      </c>
      <c r="AW61" s="252">
        <v>2</v>
      </c>
      <c r="AX61" s="58">
        <v>2.060523763053884</v>
      </c>
      <c r="AY61" s="252">
        <v>2.2573492108365825</v>
      </c>
      <c r="AZ61" s="58">
        <v>2.2612549877798109</v>
      </c>
      <c r="BA61" s="252">
        <v>2.8</v>
      </c>
      <c r="BB61" s="492"/>
    </row>
    <row r="62" spans="1:54" ht="12" customHeight="1" x14ac:dyDescent="0.25">
      <c r="A62" s="213" t="s">
        <v>46</v>
      </c>
      <c r="B62" s="438">
        <v>60.5</v>
      </c>
      <c r="C62" s="445">
        <v>58.9</v>
      </c>
      <c r="D62" s="252">
        <v>60.1</v>
      </c>
      <c r="E62" s="58">
        <v>62</v>
      </c>
      <c r="F62" s="252">
        <v>54.9</v>
      </c>
      <c r="G62" s="252">
        <v>59.8</v>
      </c>
      <c r="H62" s="252">
        <v>57.5</v>
      </c>
      <c r="I62" s="58">
        <v>62</v>
      </c>
      <c r="J62" s="252">
        <v>61</v>
      </c>
      <c r="K62" s="58">
        <v>68.19725882214513</v>
      </c>
      <c r="L62" s="252">
        <v>70.880140449948684</v>
      </c>
      <c r="M62" s="58">
        <v>66.174932381271773</v>
      </c>
      <c r="N62" s="471">
        <v>59.919034923842432</v>
      </c>
      <c r="O62" s="438">
        <v>23.1</v>
      </c>
      <c r="P62" s="446">
        <v>21.7</v>
      </c>
      <c r="Q62" s="446">
        <v>20</v>
      </c>
      <c r="R62" s="446">
        <v>19.899999999999999</v>
      </c>
      <c r="S62" s="446">
        <v>24.1</v>
      </c>
      <c r="T62" s="446">
        <v>21.5</v>
      </c>
      <c r="U62" s="446">
        <v>20.399999999999999</v>
      </c>
      <c r="V62" s="446">
        <v>18.100000000000001</v>
      </c>
      <c r="W62" s="447">
        <v>19.5</v>
      </c>
      <c r="X62" s="58">
        <v>15.901877260250577</v>
      </c>
      <c r="Y62" s="439">
        <v>15.157417960646955</v>
      </c>
      <c r="Z62" s="58">
        <v>18.598329842625876</v>
      </c>
      <c r="AA62" s="471">
        <v>22.986019101843986</v>
      </c>
      <c r="AB62" s="438">
        <v>5.5</v>
      </c>
      <c r="AC62" s="446">
        <v>5.0999999999999996</v>
      </c>
      <c r="AD62" s="446">
        <v>6.2</v>
      </c>
      <c r="AE62" s="446">
        <v>5.8</v>
      </c>
      <c r="AF62" s="446">
        <v>6.8</v>
      </c>
      <c r="AG62" s="446">
        <v>6.5</v>
      </c>
      <c r="AH62" s="446">
        <v>6.1</v>
      </c>
      <c r="AI62" s="446">
        <v>5.2</v>
      </c>
      <c r="AJ62" s="440">
        <v>5.7</v>
      </c>
      <c r="AK62" s="440">
        <v>4.6882239903224097</v>
      </c>
      <c r="AL62" s="440">
        <v>4.413107740877761</v>
      </c>
      <c r="AM62" s="440">
        <v>5.0372625624157727</v>
      </c>
      <c r="AN62" s="252">
        <v>5.8355084534764723</v>
      </c>
      <c r="AO62" s="252">
        <v>2.4</v>
      </c>
      <c r="AP62" s="441">
        <v>3</v>
      </c>
      <c r="AQ62" s="58">
        <v>2.7</v>
      </c>
      <c r="AR62" s="442">
        <v>2.9</v>
      </c>
      <c r="AS62" s="442">
        <v>3.6</v>
      </c>
      <c r="AT62" s="446">
        <v>3.3</v>
      </c>
      <c r="AU62" s="445">
        <v>5</v>
      </c>
      <c r="AV62" s="252">
        <v>6</v>
      </c>
      <c r="AW62" s="252">
        <v>5</v>
      </c>
      <c r="AX62" s="58">
        <v>4.5633399262960346</v>
      </c>
      <c r="AY62" s="252">
        <v>3.1855663518867301</v>
      </c>
      <c r="AZ62" s="58">
        <v>2.6492860127026097</v>
      </c>
      <c r="BA62" s="252">
        <v>2.9</v>
      </c>
      <c r="BB62" s="492"/>
    </row>
    <row r="63" spans="1:54" ht="12" customHeight="1" x14ac:dyDescent="0.25">
      <c r="A63" s="213" t="s">
        <v>47</v>
      </c>
      <c r="B63" s="438">
        <v>64.8</v>
      </c>
      <c r="C63" s="445">
        <v>57.7</v>
      </c>
      <c r="D63" s="252">
        <v>54.6</v>
      </c>
      <c r="E63" s="58">
        <v>57.3</v>
      </c>
      <c r="F63" s="252">
        <v>58.9</v>
      </c>
      <c r="G63" s="252">
        <v>58.3</v>
      </c>
      <c r="H63" s="252">
        <v>51</v>
      </c>
      <c r="I63" s="58">
        <v>50.7</v>
      </c>
      <c r="J63" s="252">
        <v>55.3</v>
      </c>
      <c r="K63" s="58">
        <v>54.80134488290291</v>
      </c>
      <c r="L63" s="252">
        <v>55.25382979043637</v>
      </c>
      <c r="M63" s="58">
        <v>56.572474749900536</v>
      </c>
      <c r="N63" s="471">
        <v>55.490665045043265</v>
      </c>
      <c r="O63" s="438">
        <v>18.2</v>
      </c>
      <c r="P63" s="446">
        <v>22.2</v>
      </c>
      <c r="Q63" s="446">
        <v>21.6</v>
      </c>
      <c r="R63" s="446">
        <v>20.3</v>
      </c>
      <c r="S63" s="446">
        <v>18.100000000000001</v>
      </c>
      <c r="T63" s="446">
        <v>20.9</v>
      </c>
      <c r="U63" s="446">
        <v>24.7</v>
      </c>
      <c r="V63" s="446">
        <v>25.5</v>
      </c>
      <c r="W63" s="447">
        <v>21.4</v>
      </c>
      <c r="X63" s="58">
        <v>21.773411881369597</v>
      </c>
      <c r="Y63" s="439">
        <v>21.285662978853551</v>
      </c>
      <c r="Z63" s="58">
        <v>21.151702642178602</v>
      </c>
      <c r="AA63" s="471">
        <v>21.890096432403027</v>
      </c>
      <c r="AB63" s="438">
        <v>4.4000000000000004</v>
      </c>
      <c r="AC63" s="446">
        <v>5.2</v>
      </c>
      <c r="AD63" s="446">
        <v>6.5</v>
      </c>
      <c r="AE63" s="446">
        <v>5.3</v>
      </c>
      <c r="AF63" s="446">
        <v>4.5</v>
      </c>
      <c r="AG63" s="446">
        <v>6</v>
      </c>
      <c r="AH63" s="446">
        <v>7.4</v>
      </c>
      <c r="AI63" s="446">
        <v>7.1</v>
      </c>
      <c r="AJ63" s="440">
        <v>6.2</v>
      </c>
      <c r="AK63" s="440">
        <v>6.3260401145860206</v>
      </c>
      <c r="AL63" s="440">
        <v>6.2872019359634654</v>
      </c>
      <c r="AM63" s="440">
        <v>5.7101107826308182</v>
      </c>
      <c r="AN63" s="252">
        <v>5.8831199575579536</v>
      </c>
      <c r="AO63" s="252">
        <v>1.6</v>
      </c>
      <c r="AP63" s="441">
        <v>2.2999999999999998</v>
      </c>
      <c r="AQ63" s="58">
        <v>2.5</v>
      </c>
      <c r="AR63" s="442">
        <v>2.7</v>
      </c>
      <c r="AS63" s="442">
        <v>3.5</v>
      </c>
      <c r="AT63" s="446">
        <v>3.3</v>
      </c>
      <c r="AU63" s="445">
        <v>5.4</v>
      </c>
      <c r="AV63" s="252">
        <v>5.8</v>
      </c>
      <c r="AW63" s="252">
        <v>6.2</v>
      </c>
      <c r="AX63" s="58">
        <v>5.1555426256259826</v>
      </c>
      <c r="AY63" s="252">
        <v>5.1700508986015219</v>
      </c>
      <c r="AZ63" s="58">
        <v>6.3369720203933584</v>
      </c>
      <c r="BA63" s="252">
        <v>6.8</v>
      </c>
      <c r="BB63" s="492"/>
    </row>
    <row r="64" spans="1:54" ht="12" customHeight="1" x14ac:dyDescent="0.25">
      <c r="A64" s="213" t="s">
        <v>48</v>
      </c>
      <c r="B64" s="438">
        <v>63.5</v>
      </c>
      <c r="C64" s="445">
        <v>56.6</v>
      </c>
      <c r="D64" s="252">
        <v>57.7</v>
      </c>
      <c r="E64" s="58">
        <v>59.6</v>
      </c>
      <c r="F64" s="252">
        <v>64.099999999999994</v>
      </c>
      <c r="G64" s="252">
        <v>64.8</v>
      </c>
      <c r="H64" s="252">
        <v>55.8</v>
      </c>
      <c r="I64" s="58">
        <v>52.9</v>
      </c>
      <c r="J64" s="252">
        <v>55.6</v>
      </c>
      <c r="K64" s="58">
        <v>58.279262310356728</v>
      </c>
      <c r="L64" s="252">
        <v>57.319781862477434</v>
      </c>
      <c r="M64" s="58">
        <v>54.545214213983719</v>
      </c>
      <c r="N64" s="471">
        <v>56.352218251409582</v>
      </c>
      <c r="O64" s="438">
        <v>18.5</v>
      </c>
      <c r="P64" s="446">
        <v>27.4</v>
      </c>
      <c r="Q64" s="446">
        <v>23.2</v>
      </c>
      <c r="R64" s="446">
        <v>18.899999999999999</v>
      </c>
      <c r="S64" s="446">
        <v>18.399999999999999</v>
      </c>
      <c r="T64" s="446">
        <v>18.100000000000001</v>
      </c>
      <c r="U64" s="446">
        <v>22</v>
      </c>
      <c r="V64" s="446">
        <v>23.6</v>
      </c>
      <c r="W64" s="447">
        <v>21.2</v>
      </c>
      <c r="X64" s="58">
        <v>21.035567849968206</v>
      </c>
      <c r="Y64" s="439">
        <v>22.333909981665514</v>
      </c>
      <c r="Z64" s="58">
        <v>23.589532707996462</v>
      </c>
      <c r="AA64" s="471">
        <v>22.749701373517507</v>
      </c>
      <c r="AB64" s="438">
        <v>4.5</v>
      </c>
      <c r="AC64" s="446">
        <v>6.3</v>
      </c>
      <c r="AD64" s="446">
        <v>6.8</v>
      </c>
      <c r="AE64" s="446">
        <v>5.3</v>
      </c>
      <c r="AF64" s="446">
        <v>5.0999999999999996</v>
      </c>
      <c r="AG64" s="446">
        <v>5.0999999999999996</v>
      </c>
      <c r="AH64" s="446">
        <v>6.5</v>
      </c>
      <c r="AI64" s="446">
        <v>7</v>
      </c>
      <c r="AJ64" s="440">
        <v>6.6</v>
      </c>
      <c r="AK64" s="440">
        <v>6.2435552510934942</v>
      </c>
      <c r="AL64" s="440">
        <v>6.6993826144973347</v>
      </c>
      <c r="AM64" s="440">
        <v>6.6513829145518315</v>
      </c>
      <c r="AN64" s="252">
        <v>6.1274574063037566</v>
      </c>
      <c r="AO64" s="252">
        <v>1.7</v>
      </c>
      <c r="AP64" s="441">
        <v>3.1</v>
      </c>
      <c r="AQ64" s="58">
        <v>3.4</v>
      </c>
      <c r="AR64" s="442">
        <v>2.7</v>
      </c>
      <c r="AS64" s="442">
        <v>2.8</v>
      </c>
      <c r="AT64" s="446">
        <v>4</v>
      </c>
      <c r="AU64" s="445">
        <v>3.1</v>
      </c>
      <c r="AV64" s="252">
        <v>4.0999999999999996</v>
      </c>
      <c r="AW64" s="252">
        <v>5</v>
      </c>
      <c r="AX64" s="58">
        <v>4.3872515439953759</v>
      </c>
      <c r="AY64" s="252">
        <v>4.2986922675389092</v>
      </c>
      <c r="AZ64" s="58">
        <v>5.6450555172197072</v>
      </c>
      <c r="BA64" s="252">
        <v>5.4</v>
      </c>
      <c r="BB64" s="492"/>
    </row>
    <row r="65" spans="1:54" ht="12" customHeight="1" x14ac:dyDescent="0.25">
      <c r="A65" s="213" t="s">
        <v>49</v>
      </c>
      <c r="B65" s="438">
        <v>57</v>
      </c>
      <c r="C65" s="445">
        <v>58.8</v>
      </c>
      <c r="D65" s="252">
        <v>61.2</v>
      </c>
      <c r="E65" s="58">
        <v>62.1</v>
      </c>
      <c r="F65" s="252">
        <v>60.5</v>
      </c>
      <c r="G65" s="252">
        <v>60.5</v>
      </c>
      <c r="H65" s="252">
        <v>52.6</v>
      </c>
      <c r="I65" s="58">
        <v>59.8</v>
      </c>
      <c r="J65" s="252">
        <v>58.6</v>
      </c>
      <c r="K65" s="58">
        <v>55.636424629580553</v>
      </c>
      <c r="L65" s="252">
        <v>57.255184265081262</v>
      </c>
      <c r="M65" s="58">
        <v>49.019397528246976</v>
      </c>
      <c r="N65" s="471">
        <v>58.064552017539505</v>
      </c>
      <c r="O65" s="438">
        <v>22.9</v>
      </c>
      <c r="P65" s="446">
        <v>18.8</v>
      </c>
      <c r="Q65" s="446">
        <v>18.7</v>
      </c>
      <c r="R65" s="446">
        <v>17.7</v>
      </c>
      <c r="S65" s="446">
        <v>17.3</v>
      </c>
      <c r="T65" s="446">
        <v>17.600000000000001</v>
      </c>
      <c r="U65" s="446">
        <v>21.7</v>
      </c>
      <c r="V65" s="446">
        <v>19.100000000000001</v>
      </c>
      <c r="W65" s="447">
        <v>19.600000000000001</v>
      </c>
      <c r="X65" s="58">
        <v>19.651205479977403</v>
      </c>
      <c r="Y65" s="439">
        <v>22.526410243285973</v>
      </c>
      <c r="Z65" s="58">
        <v>30.550268440702087</v>
      </c>
      <c r="AA65" s="471">
        <v>25.074474984103578</v>
      </c>
      <c r="AB65" s="438">
        <v>5.7</v>
      </c>
      <c r="AC65" s="446">
        <v>4.0999999999999996</v>
      </c>
      <c r="AD65" s="446">
        <v>5.3</v>
      </c>
      <c r="AE65" s="446">
        <v>4.7</v>
      </c>
      <c r="AF65" s="446">
        <v>4.8</v>
      </c>
      <c r="AG65" s="446">
        <v>4.9000000000000004</v>
      </c>
      <c r="AH65" s="446">
        <v>5.6</v>
      </c>
      <c r="AI65" s="446">
        <v>5.5</v>
      </c>
      <c r="AJ65" s="440">
        <v>5.2</v>
      </c>
      <c r="AK65" s="440">
        <v>4.7592930689064357</v>
      </c>
      <c r="AL65" s="440">
        <v>5.4868697399856972</v>
      </c>
      <c r="AM65" s="440">
        <v>7.0540163197549761</v>
      </c>
      <c r="AN65" s="252">
        <v>5.6656222143318358</v>
      </c>
      <c r="AO65" s="252">
        <v>2.6</v>
      </c>
      <c r="AP65" s="441">
        <v>2.9</v>
      </c>
      <c r="AQ65" s="58">
        <v>2.8</v>
      </c>
      <c r="AR65" s="442">
        <v>3.4</v>
      </c>
      <c r="AS65" s="442">
        <v>2.9</v>
      </c>
      <c r="AT65" s="446">
        <v>3.1</v>
      </c>
      <c r="AU65" s="445">
        <v>3.6</v>
      </c>
      <c r="AV65" s="252">
        <v>3.8</v>
      </c>
      <c r="AW65" s="252">
        <v>2.9</v>
      </c>
      <c r="AX65" s="58">
        <v>2.6186802248471972</v>
      </c>
      <c r="AY65" s="252">
        <v>2.3790981495914116</v>
      </c>
      <c r="AZ65" s="58">
        <v>3.0051163779858032</v>
      </c>
      <c r="BA65" s="252">
        <v>2.1</v>
      </c>
      <c r="BB65" s="492"/>
    </row>
    <row r="66" spans="1:54" ht="12" customHeight="1" x14ac:dyDescent="0.25">
      <c r="A66" s="213" t="s">
        <v>50</v>
      </c>
      <c r="B66" s="438">
        <v>62.4</v>
      </c>
      <c r="C66" s="445">
        <v>53.8</v>
      </c>
      <c r="D66" s="252">
        <v>49.9</v>
      </c>
      <c r="E66" s="58">
        <v>68.3</v>
      </c>
      <c r="F66" s="252">
        <v>57.7</v>
      </c>
      <c r="G66" s="252">
        <v>66.400000000000006</v>
      </c>
      <c r="H66" s="252">
        <v>61.3</v>
      </c>
      <c r="I66" s="58">
        <v>61.3</v>
      </c>
      <c r="J66" s="252">
        <v>67.099999999999994</v>
      </c>
      <c r="K66" s="58">
        <v>65.972825543390883</v>
      </c>
      <c r="L66" s="252">
        <v>68.365602184902912</v>
      </c>
      <c r="M66" s="58">
        <v>60.646489461850528</v>
      </c>
      <c r="N66" s="471">
        <v>55.940875084767995</v>
      </c>
      <c r="O66" s="438">
        <v>21</v>
      </c>
      <c r="P66" s="446">
        <v>18.8</v>
      </c>
      <c r="Q66" s="446">
        <v>14.4</v>
      </c>
      <c r="R66" s="446">
        <v>15.6</v>
      </c>
      <c r="S66" s="446">
        <v>16.899999999999999</v>
      </c>
      <c r="T66" s="446">
        <v>14.5</v>
      </c>
      <c r="U66" s="446">
        <v>17.5</v>
      </c>
      <c r="V66" s="446">
        <v>16.7</v>
      </c>
      <c r="W66" s="447">
        <v>14.6</v>
      </c>
      <c r="X66" s="58">
        <v>17.349544897442847</v>
      </c>
      <c r="Y66" s="439">
        <v>15.798573322157496</v>
      </c>
      <c r="Z66" s="58">
        <v>17.581055044068826</v>
      </c>
      <c r="AA66" s="471">
        <v>15.356997214571722</v>
      </c>
      <c r="AB66" s="438">
        <v>4.8</v>
      </c>
      <c r="AC66" s="446">
        <v>4.0999999999999996</v>
      </c>
      <c r="AD66" s="446">
        <v>3.9</v>
      </c>
      <c r="AE66" s="446">
        <v>4</v>
      </c>
      <c r="AF66" s="446">
        <v>4.5</v>
      </c>
      <c r="AG66" s="446">
        <v>3.8</v>
      </c>
      <c r="AH66" s="446">
        <v>4.5</v>
      </c>
      <c r="AI66" s="446">
        <v>4.4000000000000004</v>
      </c>
      <c r="AJ66" s="440">
        <v>3.6</v>
      </c>
      <c r="AK66" s="440">
        <v>4.8025407710078234</v>
      </c>
      <c r="AL66" s="440">
        <v>4.2798172630843929</v>
      </c>
      <c r="AM66" s="440">
        <v>4.469600827633589</v>
      </c>
      <c r="AN66" s="252">
        <v>4.2324922394390452</v>
      </c>
      <c r="AO66" s="252">
        <v>2.2000000000000002</v>
      </c>
      <c r="AP66" s="441">
        <v>5.8</v>
      </c>
      <c r="AQ66" s="58">
        <v>5</v>
      </c>
      <c r="AR66" s="442">
        <v>2.4</v>
      </c>
      <c r="AS66" s="442">
        <v>2.9</v>
      </c>
      <c r="AT66" s="446">
        <v>2.9</v>
      </c>
      <c r="AU66" s="445">
        <v>4.2</v>
      </c>
      <c r="AV66" s="252">
        <v>3.8</v>
      </c>
      <c r="AW66" s="252">
        <v>1.9</v>
      </c>
      <c r="AX66" s="58">
        <v>3.2528244741352101</v>
      </c>
      <c r="AY66" s="252">
        <v>1.4642922973762282</v>
      </c>
      <c r="AZ66" s="58">
        <v>9.6319628250283547</v>
      </c>
      <c r="BA66" s="252">
        <v>13.7</v>
      </c>
      <c r="BB66" s="492"/>
    </row>
    <row r="67" spans="1:54" ht="12" customHeight="1" x14ac:dyDescent="0.25">
      <c r="A67" s="213" t="s">
        <v>51</v>
      </c>
      <c r="B67" s="438">
        <v>60.2</v>
      </c>
      <c r="C67" s="445">
        <v>51.7</v>
      </c>
      <c r="D67" s="252">
        <v>60.9</v>
      </c>
      <c r="E67" s="58">
        <v>67</v>
      </c>
      <c r="F67" s="252">
        <v>68.599999999999994</v>
      </c>
      <c r="G67" s="252">
        <v>60.2</v>
      </c>
      <c r="H67" s="252">
        <v>58.5</v>
      </c>
      <c r="I67" s="58">
        <v>65.8</v>
      </c>
      <c r="J67" s="252">
        <v>74.7</v>
      </c>
      <c r="K67" s="58">
        <v>67.551806176552731</v>
      </c>
      <c r="L67" s="252">
        <v>64.759702881509398</v>
      </c>
      <c r="M67" s="58">
        <v>65.082971296774943</v>
      </c>
      <c r="N67" s="471">
        <v>65.570665052771631</v>
      </c>
      <c r="O67" s="438">
        <v>21.6</v>
      </c>
      <c r="P67" s="446">
        <v>23.8</v>
      </c>
      <c r="Q67" s="446">
        <v>18.399999999999999</v>
      </c>
      <c r="R67" s="446">
        <v>15.2</v>
      </c>
      <c r="S67" s="446">
        <v>15</v>
      </c>
      <c r="T67" s="446">
        <v>18.600000000000001</v>
      </c>
      <c r="U67" s="446">
        <v>21.3</v>
      </c>
      <c r="V67" s="446">
        <v>11.7</v>
      </c>
      <c r="W67" s="447">
        <v>9.1</v>
      </c>
      <c r="X67" s="58">
        <v>10.495526124229034</v>
      </c>
      <c r="Y67" s="439">
        <v>11.213771998723088</v>
      </c>
      <c r="Z67" s="58">
        <v>16.27779981972196</v>
      </c>
      <c r="AA67" s="471">
        <v>17.116439791343929</v>
      </c>
      <c r="AB67" s="438">
        <v>5.0999999999999996</v>
      </c>
      <c r="AC67" s="446">
        <v>5.5</v>
      </c>
      <c r="AD67" s="446">
        <v>5.5</v>
      </c>
      <c r="AE67" s="446">
        <v>4.5</v>
      </c>
      <c r="AF67" s="446">
        <v>4.3</v>
      </c>
      <c r="AG67" s="446">
        <v>5.3</v>
      </c>
      <c r="AH67" s="446">
        <v>6.3</v>
      </c>
      <c r="AI67" s="446">
        <v>3.5</v>
      </c>
      <c r="AJ67" s="440">
        <v>2.5</v>
      </c>
      <c r="AK67" s="440">
        <v>2.7261059344990772</v>
      </c>
      <c r="AL67" s="440">
        <v>2.9393931573228897</v>
      </c>
      <c r="AM67" s="440">
        <v>3.8379654390819065</v>
      </c>
      <c r="AN67" s="252">
        <v>3.7</v>
      </c>
      <c r="AO67" s="252">
        <v>2.7</v>
      </c>
      <c r="AP67" s="441">
        <v>4.7</v>
      </c>
      <c r="AQ67" s="58">
        <v>3.7</v>
      </c>
      <c r="AR67" s="442">
        <v>2.2999999999999998</v>
      </c>
      <c r="AS67" s="442">
        <v>2.1</v>
      </c>
      <c r="AT67" s="446">
        <v>4.4000000000000004</v>
      </c>
      <c r="AU67" s="445">
        <v>4.8</v>
      </c>
      <c r="AV67" s="252">
        <v>4.0999999999999996</v>
      </c>
      <c r="AW67" s="252">
        <v>3</v>
      </c>
      <c r="AX67" s="58">
        <v>3.8083320812987176</v>
      </c>
      <c r="AY67" s="252">
        <v>3.5615654361328111</v>
      </c>
      <c r="AZ67" s="58">
        <v>3.3539882588855248</v>
      </c>
      <c r="BA67" s="252">
        <v>3.4</v>
      </c>
      <c r="BB67" s="492"/>
    </row>
    <row r="68" spans="1:54" ht="12" customHeight="1" x14ac:dyDescent="0.25">
      <c r="A68" s="213" t="s">
        <v>52</v>
      </c>
      <c r="B68" s="438">
        <v>63.1</v>
      </c>
      <c r="C68" s="445">
        <v>60.7</v>
      </c>
      <c r="D68" s="252">
        <v>67.900000000000006</v>
      </c>
      <c r="E68" s="58">
        <v>65.8</v>
      </c>
      <c r="F68" s="252">
        <v>61</v>
      </c>
      <c r="G68" s="252">
        <v>53.8</v>
      </c>
      <c r="H68" s="252">
        <v>56.4</v>
      </c>
      <c r="I68" s="58">
        <v>61.7</v>
      </c>
      <c r="J68" s="252">
        <v>56.5</v>
      </c>
      <c r="K68" s="58">
        <v>60.512789034687245</v>
      </c>
      <c r="L68" s="252">
        <v>60.294464551756832</v>
      </c>
      <c r="M68" s="58">
        <v>67.10591198837102</v>
      </c>
      <c r="N68" s="471">
        <v>57.788445680510591</v>
      </c>
      <c r="O68" s="438">
        <v>19.399999999999999</v>
      </c>
      <c r="P68" s="446">
        <v>17</v>
      </c>
      <c r="Q68" s="446">
        <v>13.5</v>
      </c>
      <c r="R68" s="446">
        <v>11.5</v>
      </c>
      <c r="S68" s="446">
        <v>14.9</v>
      </c>
      <c r="T68" s="446">
        <v>17</v>
      </c>
      <c r="U68" s="446">
        <v>18.5</v>
      </c>
      <c r="V68" s="446">
        <v>15.9</v>
      </c>
      <c r="W68" s="447">
        <v>16.7</v>
      </c>
      <c r="X68" s="58">
        <v>16.307360884875902</v>
      </c>
      <c r="Y68" s="439">
        <v>17.267806330014444</v>
      </c>
      <c r="Z68" s="58">
        <v>14.437428384486081</v>
      </c>
      <c r="AA68" s="471">
        <v>19.663715718792009</v>
      </c>
      <c r="AB68" s="438">
        <v>4.7</v>
      </c>
      <c r="AC68" s="446">
        <v>3.9</v>
      </c>
      <c r="AD68" s="446">
        <v>4</v>
      </c>
      <c r="AE68" s="446">
        <v>3.2</v>
      </c>
      <c r="AF68" s="446">
        <v>4.0999999999999996</v>
      </c>
      <c r="AG68" s="446">
        <v>4.5999999999999996</v>
      </c>
      <c r="AH68" s="446">
        <v>4.9000000000000004</v>
      </c>
      <c r="AI68" s="446">
        <v>4.5999999999999996</v>
      </c>
      <c r="AJ68" s="440">
        <v>4.7</v>
      </c>
      <c r="AK68" s="440">
        <v>4.4238735572607011</v>
      </c>
      <c r="AL68" s="440">
        <v>5.0875623571472097</v>
      </c>
      <c r="AM68" s="440">
        <v>3.8685698508218223</v>
      </c>
      <c r="AN68" s="252">
        <v>5.5</v>
      </c>
      <c r="AO68" s="252">
        <v>1.6</v>
      </c>
      <c r="AP68" s="441">
        <v>2.9</v>
      </c>
      <c r="AQ68" s="58">
        <v>2.5</v>
      </c>
      <c r="AR68" s="442">
        <v>2.4</v>
      </c>
      <c r="AS68" s="442">
        <v>3.1</v>
      </c>
      <c r="AT68" s="446">
        <v>3.9</v>
      </c>
      <c r="AU68" s="445">
        <v>4.5999999999999996</v>
      </c>
      <c r="AV68" s="252">
        <v>3.5</v>
      </c>
      <c r="AW68" s="252">
        <v>3</v>
      </c>
      <c r="AX68" s="58">
        <v>2.6224283473053633</v>
      </c>
      <c r="AY68" s="252">
        <v>3.0478392499663589</v>
      </c>
      <c r="AZ68" s="58">
        <v>3.4756296976835181</v>
      </c>
      <c r="BA68" s="252">
        <v>3</v>
      </c>
      <c r="BB68" s="492"/>
    </row>
    <row r="69" spans="1:54" ht="12" customHeight="1" x14ac:dyDescent="0.25">
      <c r="A69" s="213" t="s">
        <v>53</v>
      </c>
      <c r="B69" s="438">
        <v>63.6</v>
      </c>
      <c r="C69" s="445">
        <v>51.1</v>
      </c>
      <c r="D69" s="252">
        <v>60.6</v>
      </c>
      <c r="E69" s="58">
        <v>50.4</v>
      </c>
      <c r="F69" s="252">
        <v>40.700000000000003</v>
      </c>
      <c r="G69" s="252">
        <v>59.7</v>
      </c>
      <c r="H69" s="252">
        <v>50.6</v>
      </c>
      <c r="I69" s="58">
        <v>51.2</v>
      </c>
      <c r="J69" s="252">
        <v>61</v>
      </c>
      <c r="K69" s="58">
        <v>58.307244591426119</v>
      </c>
      <c r="L69" s="252">
        <v>57.719971619068431</v>
      </c>
      <c r="M69" s="58">
        <v>59.718614633748743</v>
      </c>
      <c r="N69" s="471">
        <v>64.185106440444926</v>
      </c>
      <c r="O69" s="438">
        <v>20.7</v>
      </c>
      <c r="P69" s="446">
        <v>19.8</v>
      </c>
      <c r="Q69" s="446">
        <v>18.899999999999999</v>
      </c>
      <c r="R69" s="446">
        <v>15.5</v>
      </c>
      <c r="S69" s="446">
        <v>12.6</v>
      </c>
      <c r="T69" s="446">
        <v>20.399999999999999</v>
      </c>
      <c r="U69" s="446">
        <v>23.3</v>
      </c>
      <c r="V69" s="446">
        <v>23</v>
      </c>
      <c r="W69" s="447">
        <v>18.5</v>
      </c>
      <c r="X69" s="58">
        <v>18.113451731497513</v>
      </c>
      <c r="Y69" s="439">
        <v>21.1486447498398</v>
      </c>
      <c r="Z69" s="58">
        <v>15.279134836813398</v>
      </c>
      <c r="AA69" s="471">
        <v>15.578200164995451</v>
      </c>
      <c r="AB69" s="438">
        <v>4.9000000000000004</v>
      </c>
      <c r="AC69" s="446">
        <v>4.5999999999999996</v>
      </c>
      <c r="AD69" s="446">
        <v>5.7</v>
      </c>
      <c r="AE69" s="446">
        <v>4.5</v>
      </c>
      <c r="AF69" s="446">
        <v>3.6</v>
      </c>
      <c r="AG69" s="446">
        <v>5.9</v>
      </c>
      <c r="AH69" s="446">
        <v>6.8</v>
      </c>
      <c r="AI69" s="446">
        <v>5.9</v>
      </c>
      <c r="AJ69" s="440">
        <v>4.9000000000000004</v>
      </c>
      <c r="AK69" s="440">
        <v>4.7840326952691585</v>
      </c>
      <c r="AL69" s="440">
        <v>5.5371393521593202</v>
      </c>
      <c r="AM69" s="440">
        <v>3.8705929618120747</v>
      </c>
      <c r="AN69" s="252">
        <v>3.7</v>
      </c>
      <c r="AO69" s="252">
        <v>1.9</v>
      </c>
      <c r="AP69" s="441">
        <v>3</v>
      </c>
      <c r="AQ69" s="58">
        <v>3.3</v>
      </c>
      <c r="AR69" s="442">
        <v>2</v>
      </c>
      <c r="AS69" s="442">
        <v>1.6</v>
      </c>
      <c r="AT69" s="446">
        <v>2.9</v>
      </c>
      <c r="AU69" s="445">
        <v>4.2</v>
      </c>
      <c r="AV69" s="252">
        <v>3.3</v>
      </c>
      <c r="AW69" s="252">
        <v>2.2000000000000002</v>
      </c>
      <c r="AX69" s="58">
        <v>1.72443048814261</v>
      </c>
      <c r="AY69" s="252">
        <v>2.8466872508740977</v>
      </c>
      <c r="AZ69" s="58">
        <v>3.0443760618020068</v>
      </c>
      <c r="BA69" s="252">
        <v>2.8</v>
      </c>
      <c r="BB69" s="492"/>
    </row>
    <row r="70" spans="1:54" ht="12" customHeight="1" x14ac:dyDescent="0.25">
      <c r="A70" s="213" t="s">
        <v>54</v>
      </c>
      <c r="B70" s="438">
        <v>59.7</v>
      </c>
      <c r="C70" s="445">
        <v>65</v>
      </c>
      <c r="D70" s="252">
        <v>64.7</v>
      </c>
      <c r="E70" s="58">
        <v>61.8</v>
      </c>
      <c r="F70" s="252">
        <v>66.5</v>
      </c>
      <c r="G70" s="252">
        <v>68.900000000000006</v>
      </c>
      <c r="H70" s="252">
        <v>72.400000000000006</v>
      </c>
      <c r="I70" s="58">
        <v>67.2</v>
      </c>
      <c r="J70" s="252">
        <v>70.2</v>
      </c>
      <c r="K70" s="222">
        <v>78.849772996888888</v>
      </c>
      <c r="L70" s="252">
        <v>80.934316806202034</v>
      </c>
      <c r="M70" s="58">
        <v>77.379648921715699</v>
      </c>
      <c r="N70" s="471">
        <v>67.523831004895612</v>
      </c>
      <c r="O70" s="438">
        <v>24.2</v>
      </c>
      <c r="P70" s="446">
        <v>19.7</v>
      </c>
      <c r="Q70" s="446">
        <v>16.8</v>
      </c>
      <c r="R70" s="446">
        <v>19.2</v>
      </c>
      <c r="S70" s="446">
        <v>16.899999999999999</v>
      </c>
      <c r="T70" s="446">
        <v>13.8</v>
      </c>
      <c r="U70" s="446">
        <v>10</v>
      </c>
      <c r="V70" s="446">
        <v>13.8</v>
      </c>
      <c r="W70" s="447">
        <v>12.4</v>
      </c>
      <c r="X70" s="58">
        <v>9.0198774853065995</v>
      </c>
      <c r="Y70" s="439">
        <v>8.1714644423766867</v>
      </c>
      <c r="Z70" s="58">
        <v>10.051156479560804</v>
      </c>
      <c r="AA70" s="471">
        <v>13.602409240558755</v>
      </c>
      <c r="AB70" s="438">
        <v>5</v>
      </c>
      <c r="AC70" s="446">
        <v>4.5</v>
      </c>
      <c r="AD70" s="446">
        <v>5.3</v>
      </c>
      <c r="AE70" s="446">
        <v>5.3</v>
      </c>
      <c r="AF70" s="446">
        <v>4.7</v>
      </c>
      <c r="AG70" s="446">
        <v>3.8</v>
      </c>
      <c r="AH70" s="446">
        <v>2.9</v>
      </c>
      <c r="AI70" s="446">
        <v>4</v>
      </c>
      <c r="AJ70" s="440">
        <v>3.6</v>
      </c>
      <c r="AK70" s="440">
        <v>2.7287254019525169</v>
      </c>
      <c r="AL70" s="440">
        <v>2.508921628002478</v>
      </c>
      <c r="AM70" s="440">
        <v>2.7673112056615627</v>
      </c>
      <c r="AN70" s="252">
        <v>3.6742511432870337</v>
      </c>
      <c r="AO70" s="252">
        <v>3.7</v>
      </c>
      <c r="AP70" s="441">
        <v>2.4</v>
      </c>
      <c r="AQ70" s="58">
        <v>3</v>
      </c>
      <c r="AR70" s="442">
        <v>3</v>
      </c>
      <c r="AS70" s="442">
        <v>2.2000000000000002</v>
      </c>
      <c r="AT70" s="446">
        <v>1.6</v>
      </c>
      <c r="AU70" s="445">
        <v>2.4</v>
      </c>
      <c r="AV70" s="252">
        <v>5.5</v>
      </c>
      <c r="AW70" s="252">
        <v>5.5</v>
      </c>
      <c r="AX70" s="58">
        <v>1.6360179577740015</v>
      </c>
      <c r="AY70" s="252">
        <v>1.8678032313315034</v>
      </c>
      <c r="AZ70" s="58">
        <v>2.9862061592226841</v>
      </c>
      <c r="BA70" s="252">
        <v>3.8</v>
      </c>
      <c r="BB70" s="492"/>
    </row>
    <row r="71" spans="1:54" s="25" customFormat="1" ht="23.25" customHeight="1" x14ac:dyDescent="0.25">
      <c r="A71" s="427" t="s">
        <v>147</v>
      </c>
      <c r="B71" s="434">
        <v>58.3</v>
      </c>
      <c r="C71" s="448">
        <v>55.3</v>
      </c>
      <c r="D71" s="251">
        <v>57.6</v>
      </c>
      <c r="E71" s="109">
        <v>57.3</v>
      </c>
      <c r="F71" s="251">
        <v>56.3</v>
      </c>
      <c r="G71" s="251">
        <v>56.1</v>
      </c>
      <c r="H71" s="251">
        <v>57.1</v>
      </c>
      <c r="I71" s="109">
        <v>54.9</v>
      </c>
      <c r="J71" s="251">
        <v>61.5</v>
      </c>
      <c r="K71" s="109">
        <v>61.110348829628471</v>
      </c>
      <c r="L71" s="251">
        <v>59.464848286896689</v>
      </c>
      <c r="M71" s="109">
        <v>57.107920842099738</v>
      </c>
      <c r="N71" s="480">
        <v>57.64499561596579</v>
      </c>
      <c r="O71" s="434">
        <v>22.4</v>
      </c>
      <c r="P71" s="449">
        <v>21.1</v>
      </c>
      <c r="Q71" s="449">
        <v>21.7</v>
      </c>
      <c r="R71" s="449">
        <v>21.2</v>
      </c>
      <c r="S71" s="449">
        <v>22.3</v>
      </c>
      <c r="T71" s="449">
        <v>23.6</v>
      </c>
      <c r="U71" s="449">
        <v>22.7</v>
      </c>
      <c r="V71" s="449">
        <v>21.4</v>
      </c>
      <c r="W71" s="450">
        <v>19.600000000000001</v>
      </c>
      <c r="X71" s="109">
        <v>19.912209528321878</v>
      </c>
      <c r="Y71" s="415">
        <v>20.30518201931563</v>
      </c>
      <c r="Z71" s="109">
        <v>22.790396525212742</v>
      </c>
      <c r="AA71" s="480">
        <v>22.144451737314913</v>
      </c>
      <c r="AB71" s="434">
        <v>4.8</v>
      </c>
      <c r="AC71" s="449">
        <v>4.4000000000000004</v>
      </c>
      <c r="AD71" s="449">
        <v>5.8</v>
      </c>
      <c r="AE71" s="449">
        <v>5.5</v>
      </c>
      <c r="AF71" s="449">
        <v>5.7</v>
      </c>
      <c r="AG71" s="449">
        <v>6.1</v>
      </c>
      <c r="AH71" s="449">
        <v>6.1</v>
      </c>
      <c r="AI71" s="449">
        <v>5.8</v>
      </c>
      <c r="AJ71" s="437">
        <v>5.2</v>
      </c>
      <c r="AK71" s="437">
        <v>5.111175537718907</v>
      </c>
      <c r="AL71" s="437">
        <v>5.4300975776038642</v>
      </c>
      <c r="AM71" s="437">
        <v>5.9282605477942747</v>
      </c>
      <c r="AN71" s="251">
        <v>5.7227949243300413</v>
      </c>
      <c r="AO71" s="251">
        <v>2.6</v>
      </c>
      <c r="AP71" s="435">
        <v>3.2</v>
      </c>
      <c r="AQ71" s="109">
        <v>2.5</v>
      </c>
      <c r="AR71" s="436">
        <v>2.5</v>
      </c>
      <c r="AS71" s="436">
        <v>2.6</v>
      </c>
      <c r="AT71" s="449">
        <v>3.2</v>
      </c>
      <c r="AU71" s="448">
        <v>3.3</v>
      </c>
      <c r="AV71" s="251">
        <v>3</v>
      </c>
      <c r="AW71" s="251">
        <v>2.4</v>
      </c>
      <c r="AX71" s="109">
        <v>2.5545652342968501</v>
      </c>
      <c r="AY71" s="251">
        <v>2.9329072613603206</v>
      </c>
      <c r="AZ71" s="109">
        <v>2.917964382539147</v>
      </c>
      <c r="BA71" s="251">
        <v>3.2266461321321169</v>
      </c>
      <c r="BB71" s="490"/>
    </row>
    <row r="72" spans="1:54" ht="12" customHeight="1" x14ac:dyDescent="0.25">
      <c r="A72" s="213" t="s">
        <v>55</v>
      </c>
      <c r="B72" s="438">
        <v>63.8</v>
      </c>
      <c r="C72" s="445">
        <v>55.4</v>
      </c>
      <c r="D72" s="252">
        <v>58.9</v>
      </c>
      <c r="E72" s="58">
        <v>63.1</v>
      </c>
      <c r="F72" s="252">
        <v>73</v>
      </c>
      <c r="G72" s="252">
        <v>66</v>
      </c>
      <c r="H72" s="252">
        <v>57</v>
      </c>
      <c r="I72" s="58">
        <v>50.8</v>
      </c>
      <c r="J72" s="252">
        <v>50.7</v>
      </c>
      <c r="K72" s="58">
        <v>60.552846362506408</v>
      </c>
      <c r="L72" s="252">
        <v>65.441010052015088</v>
      </c>
      <c r="M72" s="58">
        <v>58.865289715865643</v>
      </c>
      <c r="N72" s="471">
        <v>61.538848315669355</v>
      </c>
      <c r="O72" s="438">
        <v>23.8</v>
      </c>
      <c r="P72" s="446">
        <v>26.3</v>
      </c>
      <c r="Q72" s="446">
        <v>20.7</v>
      </c>
      <c r="R72" s="446">
        <v>18.8</v>
      </c>
      <c r="S72" s="446">
        <v>15.5</v>
      </c>
      <c r="T72" s="446">
        <v>17.8</v>
      </c>
      <c r="U72" s="446">
        <v>25.2</v>
      </c>
      <c r="V72" s="446">
        <v>26.4</v>
      </c>
      <c r="W72" s="447">
        <v>23.4</v>
      </c>
      <c r="X72" s="58">
        <v>22.436912707577612</v>
      </c>
      <c r="Y72" s="439">
        <v>15.294556500341528</v>
      </c>
      <c r="Z72" s="58">
        <v>17.09265170633374</v>
      </c>
      <c r="AA72" s="471">
        <v>18.198969654582061</v>
      </c>
      <c r="AB72" s="438">
        <v>6.2</v>
      </c>
      <c r="AC72" s="446">
        <v>6.5</v>
      </c>
      <c r="AD72" s="446">
        <v>6.2</v>
      </c>
      <c r="AE72" s="446">
        <v>5.3</v>
      </c>
      <c r="AF72" s="446">
        <v>4.5</v>
      </c>
      <c r="AG72" s="446">
        <v>5.0999999999999996</v>
      </c>
      <c r="AH72" s="446">
        <v>6.6</v>
      </c>
      <c r="AI72" s="446">
        <v>7.4</v>
      </c>
      <c r="AJ72" s="447">
        <v>5.7</v>
      </c>
      <c r="AK72" s="440">
        <v>6.2299176518766144</v>
      </c>
      <c r="AL72" s="440">
        <v>4.4921431447198179</v>
      </c>
      <c r="AM72" s="440">
        <v>4.3879274239289927</v>
      </c>
      <c r="AN72" s="252">
        <v>4.6924751876617323</v>
      </c>
      <c r="AO72" s="252">
        <v>2.2000000000000002</v>
      </c>
      <c r="AP72" s="441">
        <v>2.2000000000000002</v>
      </c>
      <c r="AQ72" s="58">
        <v>2.1</v>
      </c>
      <c r="AR72" s="442">
        <v>2.4</v>
      </c>
      <c r="AS72" s="442">
        <v>2.2000000000000002</v>
      </c>
      <c r="AT72" s="446">
        <v>2.9</v>
      </c>
      <c r="AU72" s="445">
        <v>3.3</v>
      </c>
      <c r="AV72" s="252">
        <v>3.2</v>
      </c>
      <c r="AW72" s="252">
        <v>2.1</v>
      </c>
      <c r="AX72" s="58">
        <v>4.0048257338516251</v>
      </c>
      <c r="AY72" s="252">
        <v>4.4721967336874391</v>
      </c>
      <c r="AZ72" s="58">
        <v>5.6164672641082092</v>
      </c>
      <c r="BA72" s="252">
        <v>7.2964581000803896</v>
      </c>
      <c r="BB72" s="492"/>
    </row>
    <row r="73" spans="1:54" ht="12" customHeight="1" x14ac:dyDescent="0.25">
      <c r="A73" s="213" t="s">
        <v>56</v>
      </c>
      <c r="B73" s="438">
        <v>60</v>
      </c>
      <c r="C73" s="445">
        <v>53.9</v>
      </c>
      <c r="D73" s="252">
        <v>55.7</v>
      </c>
      <c r="E73" s="58">
        <v>52.2</v>
      </c>
      <c r="F73" s="252">
        <v>55.6</v>
      </c>
      <c r="G73" s="252">
        <v>62.8</v>
      </c>
      <c r="H73" s="252">
        <v>58.9</v>
      </c>
      <c r="I73" s="58">
        <v>59.1</v>
      </c>
      <c r="J73" s="252">
        <v>56.7</v>
      </c>
      <c r="K73" s="58">
        <v>56.879752932185482</v>
      </c>
      <c r="L73" s="252">
        <v>57.835415407583554</v>
      </c>
      <c r="M73" s="58">
        <v>60.59725706259573</v>
      </c>
      <c r="N73" s="471">
        <v>60.86201569533295</v>
      </c>
      <c r="O73" s="438">
        <v>23.5</v>
      </c>
      <c r="P73" s="446">
        <v>22.1</v>
      </c>
      <c r="Q73" s="446">
        <v>23.1</v>
      </c>
      <c r="R73" s="446">
        <v>22</v>
      </c>
      <c r="S73" s="446">
        <v>21</v>
      </c>
      <c r="T73" s="446">
        <v>19.399999999999999</v>
      </c>
      <c r="U73" s="446">
        <v>21.3</v>
      </c>
      <c r="V73" s="446">
        <v>21.2</v>
      </c>
      <c r="W73" s="447">
        <v>21.9</v>
      </c>
      <c r="X73" s="58">
        <v>23.930866944355</v>
      </c>
      <c r="Y73" s="439">
        <v>23.786092002164558</v>
      </c>
      <c r="Z73" s="58">
        <v>22.545401151048488</v>
      </c>
      <c r="AA73" s="471">
        <v>21.615582216787217</v>
      </c>
      <c r="AB73" s="438">
        <v>5.6</v>
      </c>
      <c r="AC73" s="446">
        <v>5.0999999999999996</v>
      </c>
      <c r="AD73" s="446">
        <v>6.4</v>
      </c>
      <c r="AE73" s="446">
        <v>6</v>
      </c>
      <c r="AF73" s="446">
        <v>5.7</v>
      </c>
      <c r="AG73" s="446">
        <v>5.3</v>
      </c>
      <c r="AH73" s="446">
        <v>6.1</v>
      </c>
      <c r="AI73" s="446">
        <v>6</v>
      </c>
      <c r="AJ73" s="447">
        <v>6.4</v>
      </c>
      <c r="AK73" s="440">
        <v>6.9410308700136998</v>
      </c>
      <c r="AL73" s="440">
        <v>6.4542402071671408</v>
      </c>
      <c r="AM73" s="440">
        <v>5.633393903905934</v>
      </c>
      <c r="AN73" s="252">
        <v>5.6444425844474759</v>
      </c>
      <c r="AO73" s="252">
        <v>2.2000000000000002</v>
      </c>
      <c r="AP73" s="441">
        <v>2.7</v>
      </c>
      <c r="AQ73" s="58">
        <v>2.4</v>
      </c>
      <c r="AR73" s="442">
        <v>2.5</v>
      </c>
      <c r="AS73" s="442">
        <v>2.4</v>
      </c>
      <c r="AT73" s="446">
        <v>2.7</v>
      </c>
      <c r="AU73" s="445">
        <v>3.1</v>
      </c>
      <c r="AV73" s="252">
        <v>2.6</v>
      </c>
      <c r="AW73" s="252">
        <v>2.9</v>
      </c>
      <c r="AX73" s="58">
        <v>2.2273211622413491</v>
      </c>
      <c r="AY73" s="252">
        <v>2.2834385822066898</v>
      </c>
      <c r="AZ73" s="58">
        <v>2.4331724373829746</v>
      </c>
      <c r="BA73" s="252">
        <v>2.2000000000000002</v>
      </c>
      <c r="BB73" s="492"/>
    </row>
    <row r="74" spans="1:54" ht="12" customHeight="1" x14ac:dyDescent="0.25">
      <c r="A74" s="213" t="s">
        <v>57</v>
      </c>
      <c r="B74" s="438">
        <v>58.2</v>
      </c>
      <c r="C74" s="445">
        <v>56</v>
      </c>
      <c r="D74" s="252">
        <v>58.9</v>
      </c>
      <c r="E74" s="58">
        <v>58.6</v>
      </c>
      <c r="F74" s="252">
        <v>56.4</v>
      </c>
      <c r="G74" s="252">
        <v>54.4</v>
      </c>
      <c r="H74" s="252">
        <v>56.9</v>
      </c>
      <c r="I74" s="58">
        <v>54</v>
      </c>
      <c r="J74" s="252">
        <v>62.6</v>
      </c>
      <c r="K74" s="58">
        <v>61.715481856433115</v>
      </c>
      <c r="L74" s="252">
        <v>58.480926022222981</v>
      </c>
      <c r="M74" s="58">
        <v>55.869810608448233</v>
      </c>
      <c r="N74" s="471">
        <v>55.990524549322885</v>
      </c>
      <c r="O74" s="438">
        <v>21.7</v>
      </c>
      <c r="P74" s="446">
        <v>20.3</v>
      </c>
      <c r="Q74" s="446">
        <v>20.9</v>
      </c>
      <c r="R74" s="446">
        <v>20.6</v>
      </c>
      <c r="S74" s="446">
        <v>22.3</v>
      </c>
      <c r="T74" s="446">
        <v>24.5</v>
      </c>
      <c r="U74" s="446">
        <v>22.6</v>
      </c>
      <c r="V74" s="446">
        <v>21.1</v>
      </c>
      <c r="W74" s="447">
        <v>19.100000000000001</v>
      </c>
      <c r="X74" s="58">
        <v>19.234893599586407</v>
      </c>
      <c r="Y74" s="439">
        <v>20.412925154086135</v>
      </c>
      <c r="Z74" s="58">
        <v>23.349541299864853</v>
      </c>
      <c r="AA74" s="471">
        <v>22.888916757848222</v>
      </c>
      <c r="AB74" s="438">
        <v>4.5999999999999996</v>
      </c>
      <c r="AC74" s="446">
        <v>4</v>
      </c>
      <c r="AD74" s="446">
        <v>5.4</v>
      </c>
      <c r="AE74" s="446">
        <v>5.3</v>
      </c>
      <c r="AF74" s="446">
        <v>5.5</v>
      </c>
      <c r="AG74" s="446">
        <v>6.2</v>
      </c>
      <c r="AH74" s="446">
        <v>6</v>
      </c>
      <c r="AI74" s="446">
        <v>5.7</v>
      </c>
      <c r="AJ74" s="447">
        <v>5</v>
      </c>
      <c r="AK74" s="440">
        <v>4.7098633136371681</v>
      </c>
      <c r="AL74" s="440">
        <v>5.3550151022385455</v>
      </c>
      <c r="AM74" s="440">
        <v>6.1136259277457805</v>
      </c>
      <c r="AN74" s="252">
        <v>5.8</v>
      </c>
      <c r="AO74" s="252">
        <v>2.8</v>
      </c>
      <c r="AP74" s="441">
        <v>3.3</v>
      </c>
      <c r="AQ74" s="58">
        <v>2.5</v>
      </c>
      <c r="AR74" s="442">
        <v>2.4</v>
      </c>
      <c r="AS74" s="442">
        <v>2.6</v>
      </c>
      <c r="AT74" s="446">
        <v>3.4</v>
      </c>
      <c r="AU74" s="445">
        <v>3.5</v>
      </c>
      <c r="AV74" s="252">
        <v>3.1</v>
      </c>
      <c r="AW74" s="252">
        <v>2.2999999999999998</v>
      </c>
      <c r="AX74" s="58">
        <v>2.5071765005589191</v>
      </c>
      <c r="AY74" s="252">
        <v>2.7073728685532767</v>
      </c>
      <c r="AZ74" s="58">
        <v>3.1067010323132149</v>
      </c>
      <c r="BA74" s="252">
        <v>3.6</v>
      </c>
      <c r="BB74" s="492"/>
    </row>
    <row r="75" spans="1:54" ht="12" customHeight="1" x14ac:dyDescent="0.25">
      <c r="A75" s="428" t="s">
        <v>143</v>
      </c>
      <c r="B75" s="438"/>
      <c r="C75" s="445"/>
      <c r="D75" s="252"/>
      <c r="E75" s="58"/>
      <c r="F75" s="252"/>
      <c r="G75" s="252"/>
      <c r="H75" s="252"/>
      <c r="I75" s="58"/>
      <c r="J75" s="252"/>
      <c r="K75" s="58"/>
      <c r="L75" s="252"/>
      <c r="M75" s="58"/>
      <c r="N75" s="471"/>
      <c r="O75" s="438"/>
      <c r="P75" s="446"/>
      <c r="Q75" s="446"/>
      <c r="R75" s="446"/>
      <c r="S75" s="446"/>
      <c r="T75" s="446"/>
      <c r="U75" s="446"/>
      <c r="V75" s="446"/>
      <c r="W75" s="447"/>
      <c r="X75" s="58"/>
      <c r="Y75" s="439"/>
      <c r="Z75" s="58"/>
      <c r="AA75" s="471"/>
      <c r="AB75" s="438"/>
      <c r="AC75" s="446"/>
      <c r="AD75" s="446"/>
      <c r="AE75" s="446"/>
      <c r="AF75" s="446"/>
      <c r="AG75" s="446"/>
      <c r="AH75" s="446"/>
      <c r="AI75" s="446"/>
      <c r="AJ75" s="447"/>
      <c r="AK75" s="440"/>
      <c r="AL75" s="440"/>
      <c r="AM75" s="440"/>
      <c r="AN75" s="252"/>
      <c r="AO75" s="252"/>
      <c r="AP75" s="441"/>
      <c r="AQ75" s="58"/>
      <c r="AR75" s="442"/>
      <c r="AS75" s="442"/>
      <c r="AT75" s="446"/>
      <c r="AU75" s="445"/>
      <c r="AV75" s="252"/>
      <c r="AW75" s="443"/>
      <c r="AX75" s="444"/>
      <c r="AY75" s="443"/>
      <c r="AZ75" s="58"/>
      <c r="BA75" s="252"/>
      <c r="BB75" s="492"/>
    </row>
    <row r="76" spans="1:54" ht="20.25" x14ac:dyDescent="0.25">
      <c r="A76" s="429" t="s">
        <v>153</v>
      </c>
      <c r="B76" s="438">
        <v>58.4</v>
      </c>
      <c r="C76" s="445">
        <v>62.9</v>
      </c>
      <c r="D76" s="252">
        <v>59.2</v>
      </c>
      <c r="E76" s="58">
        <v>59.3</v>
      </c>
      <c r="F76" s="252">
        <v>58.5</v>
      </c>
      <c r="G76" s="252">
        <v>57.3</v>
      </c>
      <c r="H76" s="252">
        <v>58.6</v>
      </c>
      <c r="I76" s="58">
        <v>55.9</v>
      </c>
      <c r="J76" s="252">
        <v>59.5</v>
      </c>
      <c r="K76" s="58">
        <v>60.472267313213848</v>
      </c>
      <c r="L76" s="252">
        <v>59.409353366384984</v>
      </c>
      <c r="M76" s="58">
        <v>58.760984415061756</v>
      </c>
      <c r="N76" s="471">
        <v>56.55554408844916</v>
      </c>
      <c r="O76" s="438">
        <v>21.9</v>
      </c>
      <c r="P76" s="446">
        <v>19.600000000000001</v>
      </c>
      <c r="Q76" s="446">
        <v>20.100000000000001</v>
      </c>
      <c r="R76" s="446">
        <v>19.3</v>
      </c>
      <c r="S76" s="446">
        <v>20.3</v>
      </c>
      <c r="T76" s="446">
        <v>22.4</v>
      </c>
      <c r="U76" s="446">
        <v>21.6</v>
      </c>
      <c r="V76" s="446">
        <v>20.6</v>
      </c>
      <c r="W76" s="447">
        <v>19.5</v>
      </c>
      <c r="X76" s="58">
        <v>21.1</v>
      </c>
      <c r="Y76" s="439">
        <v>21.471821914345867</v>
      </c>
      <c r="Z76" s="58">
        <v>21.062879493065893</v>
      </c>
      <c r="AA76" s="471">
        <v>20.687553176540462</v>
      </c>
      <c r="AB76" s="438">
        <v>4.5</v>
      </c>
      <c r="AC76" s="446">
        <v>3.9</v>
      </c>
      <c r="AD76" s="446">
        <v>5.0999999999999996</v>
      </c>
      <c r="AE76" s="446">
        <v>4.8</v>
      </c>
      <c r="AF76" s="446">
        <v>5.0999999999999996</v>
      </c>
      <c r="AG76" s="446">
        <v>5.7</v>
      </c>
      <c r="AH76" s="446">
        <v>5.7</v>
      </c>
      <c r="AI76" s="446">
        <v>5.5</v>
      </c>
      <c r="AJ76" s="447">
        <v>5.3</v>
      </c>
      <c r="AK76" s="440">
        <v>5.5937311643269139</v>
      </c>
      <c r="AL76" s="440">
        <v>5.7794413153953617</v>
      </c>
      <c r="AM76" s="440">
        <v>5.5305098306408436</v>
      </c>
      <c r="AN76" s="252">
        <v>5.4</v>
      </c>
      <c r="AO76" s="252">
        <v>2.7</v>
      </c>
      <c r="AP76" s="441">
        <v>3.1</v>
      </c>
      <c r="AQ76" s="58">
        <v>2.9</v>
      </c>
      <c r="AR76" s="442">
        <v>2.8</v>
      </c>
      <c r="AS76" s="442">
        <v>3.1</v>
      </c>
      <c r="AT76" s="446">
        <v>3.7</v>
      </c>
      <c r="AU76" s="445">
        <v>3.4</v>
      </c>
      <c r="AV76" s="252">
        <v>3.9</v>
      </c>
      <c r="AW76" s="252">
        <v>2.6</v>
      </c>
      <c r="AX76" s="58">
        <v>3.0926192209821917</v>
      </c>
      <c r="AY76" s="252">
        <v>2.8323524895973642</v>
      </c>
      <c r="AZ76" s="58">
        <v>2.8220630613072046</v>
      </c>
      <c r="BA76" s="252">
        <v>4.7</v>
      </c>
      <c r="BB76" s="492"/>
    </row>
    <row r="77" spans="1:54" ht="12" customHeight="1" x14ac:dyDescent="0.25">
      <c r="A77" s="429" t="s">
        <v>59</v>
      </c>
      <c r="B77" s="438">
        <v>52.6</v>
      </c>
      <c r="C77" s="445">
        <v>46.8</v>
      </c>
      <c r="D77" s="252">
        <v>57.7</v>
      </c>
      <c r="E77" s="58">
        <v>56.6</v>
      </c>
      <c r="F77" s="252">
        <v>52.1</v>
      </c>
      <c r="G77" s="252">
        <v>46.6</v>
      </c>
      <c r="H77" s="252">
        <v>54.1</v>
      </c>
      <c r="I77" s="58">
        <v>45.9</v>
      </c>
      <c r="J77" s="252">
        <v>68.5</v>
      </c>
      <c r="K77" s="58">
        <v>67.008632559681274</v>
      </c>
      <c r="L77" s="252">
        <v>67.235513295324694</v>
      </c>
      <c r="M77" s="58">
        <v>51.244950514315569</v>
      </c>
      <c r="N77" s="471">
        <v>55.668472961359413</v>
      </c>
      <c r="O77" s="438">
        <v>28.1</v>
      </c>
      <c r="P77" s="446">
        <v>20.5</v>
      </c>
      <c r="Q77" s="446">
        <v>22.5</v>
      </c>
      <c r="R77" s="446">
        <v>23.2</v>
      </c>
      <c r="S77" s="446">
        <v>26.6</v>
      </c>
      <c r="T77" s="446">
        <v>30</v>
      </c>
      <c r="U77" s="446">
        <v>24.7</v>
      </c>
      <c r="V77" s="446">
        <v>23.8</v>
      </c>
      <c r="W77" s="447">
        <v>19.899999999999999</v>
      </c>
      <c r="X77" s="58">
        <v>18.7</v>
      </c>
      <c r="Y77" s="439">
        <v>18.783897886289143</v>
      </c>
      <c r="Z77" s="58">
        <v>27.111645773271352</v>
      </c>
      <c r="AA77" s="471">
        <v>25.175532338960188</v>
      </c>
      <c r="AB77" s="438">
        <v>5.7</v>
      </c>
      <c r="AC77" s="446">
        <v>4</v>
      </c>
      <c r="AD77" s="446">
        <v>5.9</v>
      </c>
      <c r="AE77" s="446">
        <v>6</v>
      </c>
      <c r="AF77" s="446">
        <v>6.4</v>
      </c>
      <c r="AG77" s="446">
        <v>7.4</v>
      </c>
      <c r="AH77" s="446">
        <v>6.2</v>
      </c>
      <c r="AI77" s="446">
        <v>6.2</v>
      </c>
      <c r="AJ77" s="447">
        <v>4.5999999999999996</v>
      </c>
      <c r="AK77" s="440">
        <v>3.3225099167177108</v>
      </c>
      <c r="AL77" s="440">
        <v>4.4618116939932078</v>
      </c>
      <c r="AM77" s="440">
        <v>6.8777065894236875</v>
      </c>
      <c r="AN77" s="252">
        <v>5.8061879902339557</v>
      </c>
      <c r="AO77" s="252">
        <v>3.2</v>
      </c>
      <c r="AP77" s="441">
        <v>3.4</v>
      </c>
      <c r="AQ77" s="58">
        <v>1.8</v>
      </c>
      <c r="AR77" s="442">
        <v>1.8</v>
      </c>
      <c r="AS77" s="442">
        <v>1.9</v>
      </c>
      <c r="AT77" s="446">
        <v>3</v>
      </c>
      <c r="AU77" s="445">
        <v>3.1</v>
      </c>
      <c r="AV77" s="252">
        <v>2</v>
      </c>
      <c r="AW77" s="252">
        <v>1.3</v>
      </c>
      <c r="AX77" s="58">
        <v>1.7275416565814588</v>
      </c>
      <c r="AY77" s="252">
        <v>1.8978446272232465</v>
      </c>
      <c r="AZ77" s="58">
        <v>3.0981968195043619</v>
      </c>
      <c r="BA77" s="252">
        <v>2.9</v>
      </c>
      <c r="BB77" s="492"/>
    </row>
    <row r="78" spans="1:54" ht="20.25" x14ac:dyDescent="0.25">
      <c r="A78" s="429" t="s">
        <v>154</v>
      </c>
      <c r="B78" s="438"/>
      <c r="C78" s="445"/>
      <c r="D78" s="252"/>
      <c r="E78" s="58">
        <v>61.9</v>
      </c>
      <c r="F78" s="252">
        <v>61</v>
      </c>
      <c r="G78" s="252">
        <v>59.3</v>
      </c>
      <c r="H78" s="252">
        <v>56.2</v>
      </c>
      <c r="I78" s="58">
        <v>61.8</v>
      </c>
      <c r="J78" s="252">
        <v>59.7</v>
      </c>
      <c r="K78" s="58">
        <v>58.66885543387842</v>
      </c>
      <c r="L78" s="252">
        <v>51.411476718863383</v>
      </c>
      <c r="M78" s="58">
        <v>55.399029553878485</v>
      </c>
      <c r="N78" s="471">
        <v>55.483271021459515</v>
      </c>
      <c r="O78" s="438"/>
      <c r="P78" s="446"/>
      <c r="Q78" s="446"/>
      <c r="R78" s="446">
        <v>17.8</v>
      </c>
      <c r="S78" s="446">
        <v>17.5</v>
      </c>
      <c r="T78" s="446">
        <v>20.9</v>
      </c>
      <c r="U78" s="446">
        <v>22</v>
      </c>
      <c r="V78" s="446">
        <v>18.5</v>
      </c>
      <c r="W78" s="447">
        <v>17.2</v>
      </c>
      <c r="X78" s="58">
        <v>17.5</v>
      </c>
      <c r="Y78" s="439">
        <v>20.073589569199701</v>
      </c>
      <c r="Z78" s="58">
        <v>23.654485410266869</v>
      </c>
      <c r="AA78" s="471">
        <v>24.182980733031524</v>
      </c>
      <c r="AB78" s="438"/>
      <c r="AC78" s="446"/>
      <c r="AD78" s="446"/>
      <c r="AE78" s="446">
        <v>4.7</v>
      </c>
      <c r="AF78" s="446">
        <v>4.5999999999999996</v>
      </c>
      <c r="AG78" s="446">
        <v>5.7</v>
      </c>
      <c r="AH78" s="446">
        <v>6.4</v>
      </c>
      <c r="AI78" s="446">
        <v>5.2</v>
      </c>
      <c r="AJ78" s="447">
        <v>5</v>
      </c>
      <c r="AK78" s="440">
        <v>4.8086474990615402</v>
      </c>
      <c r="AL78" s="440">
        <v>5.3787813829622966</v>
      </c>
      <c r="AM78" s="440">
        <v>6.3176475611627287</v>
      </c>
      <c r="AN78" s="252">
        <v>6.4</v>
      </c>
      <c r="AO78" s="252"/>
      <c r="AP78" s="441"/>
      <c r="AQ78" s="58"/>
      <c r="AR78" s="442">
        <v>2.8</v>
      </c>
      <c r="AS78" s="442">
        <v>2.9</v>
      </c>
      <c r="AT78" s="446">
        <v>3.5</v>
      </c>
      <c r="AU78" s="445">
        <v>4.0999999999999996</v>
      </c>
      <c r="AV78" s="252">
        <v>3.2</v>
      </c>
      <c r="AW78" s="252">
        <v>3.2</v>
      </c>
      <c r="AX78" s="58">
        <v>2.4514028258289433</v>
      </c>
      <c r="AY78" s="252">
        <v>3.0778157458185755</v>
      </c>
      <c r="AZ78" s="58">
        <v>3.452929400839623</v>
      </c>
      <c r="BA78" s="252">
        <v>3.5</v>
      </c>
      <c r="BB78" s="492"/>
    </row>
    <row r="79" spans="1:54" ht="12" customHeight="1" x14ac:dyDescent="0.25">
      <c r="A79" s="213" t="s">
        <v>60</v>
      </c>
      <c r="B79" s="438">
        <v>55</v>
      </c>
      <c r="C79" s="445">
        <v>51.8</v>
      </c>
      <c r="D79" s="252">
        <v>50.4</v>
      </c>
      <c r="E79" s="58">
        <v>53.2</v>
      </c>
      <c r="F79" s="252">
        <v>55</v>
      </c>
      <c r="G79" s="252">
        <v>54.8</v>
      </c>
      <c r="H79" s="252">
        <v>56.1</v>
      </c>
      <c r="I79" s="58">
        <v>56.7</v>
      </c>
      <c r="J79" s="252">
        <v>60.4</v>
      </c>
      <c r="K79" s="58">
        <v>62.788026903881786</v>
      </c>
      <c r="L79" s="252">
        <v>67.006336385129828</v>
      </c>
      <c r="M79" s="58">
        <v>56.497363839889822</v>
      </c>
      <c r="N79" s="471">
        <v>60.153158614992421</v>
      </c>
      <c r="O79" s="438">
        <v>25.7</v>
      </c>
      <c r="P79" s="446">
        <v>25.8</v>
      </c>
      <c r="Q79" s="446">
        <v>25.4</v>
      </c>
      <c r="R79" s="446">
        <v>25</v>
      </c>
      <c r="S79" s="446">
        <v>25.2</v>
      </c>
      <c r="T79" s="446">
        <v>26.1</v>
      </c>
      <c r="U79" s="446">
        <v>25.7</v>
      </c>
      <c r="V79" s="446">
        <v>23.4</v>
      </c>
      <c r="W79" s="447">
        <v>20.100000000000001</v>
      </c>
      <c r="X79" s="58">
        <v>18.7</v>
      </c>
      <c r="Y79" s="439">
        <v>15.597774405220836</v>
      </c>
      <c r="Z79" s="58">
        <v>21.446281677367391</v>
      </c>
      <c r="AA79" s="471">
        <v>19.266180453661089</v>
      </c>
      <c r="AB79" s="438">
        <v>5.6</v>
      </c>
      <c r="AC79" s="446">
        <v>6.2</v>
      </c>
      <c r="AD79" s="446">
        <v>8</v>
      </c>
      <c r="AE79" s="446">
        <v>7</v>
      </c>
      <c r="AF79" s="446">
        <v>7</v>
      </c>
      <c r="AG79" s="446">
        <v>6.7</v>
      </c>
      <c r="AH79" s="446">
        <v>6.5</v>
      </c>
      <c r="AI79" s="446">
        <v>6.4</v>
      </c>
      <c r="AJ79" s="447">
        <v>5.7</v>
      </c>
      <c r="AK79" s="440">
        <v>5.2032566799291766</v>
      </c>
      <c r="AL79" s="440">
        <v>4.614828442835945</v>
      </c>
      <c r="AM79" s="440">
        <v>5.9041191666496156</v>
      </c>
      <c r="AN79" s="252">
        <v>5.4177819767131288</v>
      </c>
      <c r="AO79" s="252">
        <v>2.2000000000000002</v>
      </c>
      <c r="AP79" s="441">
        <v>3</v>
      </c>
      <c r="AQ79" s="58">
        <v>3</v>
      </c>
      <c r="AR79" s="442">
        <v>3.1</v>
      </c>
      <c r="AS79" s="442">
        <v>3.1</v>
      </c>
      <c r="AT79" s="446">
        <v>3</v>
      </c>
      <c r="AU79" s="445">
        <v>2.5</v>
      </c>
      <c r="AV79" s="252">
        <v>2.4</v>
      </c>
      <c r="AW79" s="252">
        <v>2.1</v>
      </c>
      <c r="AX79" s="58">
        <v>3.0577806890462864</v>
      </c>
      <c r="AY79" s="252">
        <v>5.0517015775208618</v>
      </c>
      <c r="AZ79" s="58">
        <v>1.7984584643762007</v>
      </c>
      <c r="BA79" s="252">
        <v>1.9</v>
      </c>
      <c r="BB79" s="492"/>
    </row>
    <row r="80" spans="1:54" s="23" customFormat="1" ht="22.5" customHeight="1" x14ac:dyDescent="0.25">
      <c r="A80" s="430" t="s">
        <v>148</v>
      </c>
      <c r="B80" s="451">
        <v>58.9</v>
      </c>
      <c r="C80" s="452">
        <v>57</v>
      </c>
      <c r="D80" s="253">
        <v>58.1</v>
      </c>
      <c r="E80" s="223">
        <v>58.3</v>
      </c>
      <c r="F80" s="253">
        <v>59.6</v>
      </c>
      <c r="G80" s="253">
        <v>60.6</v>
      </c>
      <c r="H80" s="253">
        <v>60.6</v>
      </c>
      <c r="I80" s="223">
        <v>59.2</v>
      </c>
      <c r="J80" s="253">
        <v>58.3</v>
      </c>
      <c r="K80" s="223">
        <v>56.3</v>
      </c>
      <c r="L80" s="253">
        <v>57.2</v>
      </c>
      <c r="M80" s="109">
        <v>56.026569239020333</v>
      </c>
      <c r="N80" s="480">
        <v>56.029029613621553</v>
      </c>
      <c r="O80" s="451">
        <v>22.8</v>
      </c>
      <c r="P80" s="453">
        <v>22.7</v>
      </c>
      <c r="Q80" s="453">
        <v>21.5</v>
      </c>
      <c r="R80" s="453">
        <v>22</v>
      </c>
      <c r="S80" s="453">
        <v>20.399999999999999</v>
      </c>
      <c r="T80" s="453">
        <v>20.2</v>
      </c>
      <c r="U80" s="453">
        <v>20.100000000000001</v>
      </c>
      <c r="V80" s="453">
        <v>20.8</v>
      </c>
      <c r="W80" s="454">
        <v>21.6</v>
      </c>
      <c r="X80" s="223">
        <v>22.2</v>
      </c>
      <c r="Y80" s="455">
        <v>21.7</v>
      </c>
      <c r="Z80" s="109">
        <v>22.278098248220012</v>
      </c>
      <c r="AA80" s="480">
        <v>20.96436950595433</v>
      </c>
      <c r="AB80" s="451">
        <v>5.6</v>
      </c>
      <c r="AC80" s="453">
        <v>4.9000000000000004</v>
      </c>
      <c r="AD80" s="453">
        <v>5.9</v>
      </c>
      <c r="AE80" s="453">
        <v>5.9</v>
      </c>
      <c r="AF80" s="453">
        <v>5.5</v>
      </c>
      <c r="AG80" s="453">
        <v>5.4</v>
      </c>
      <c r="AH80" s="453">
        <v>5.6</v>
      </c>
      <c r="AI80" s="453">
        <v>5.8</v>
      </c>
      <c r="AJ80" s="454">
        <v>5.9</v>
      </c>
      <c r="AK80" s="456">
        <v>6</v>
      </c>
      <c r="AL80" s="456">
        <v>6</v>
      </c>
      <c r="AM80" s="437">
        <v>6.062507452398072</v>
      </c>
      <c r="AN80" s="251">
        <v>5.6742748124519355</v>
      </c>
      <c r="AO80" s="253">
        <v>2.6</v>
      </c>
      <c r="AP80" s="457">
        <v>2.9</v>
      </c>
      <c r="AQ80" s="223">
        <v>2.9</v>
      </c>
      <c r="AR80" s="475">
        <v>2.9</v>
      </c>
      <c r="AS80" s="475">
        <v>3</v>
      </c>
      <c r="AT80" s="453">
        <v>3.2</v>
      </c>
      <c r="AU80" s="452">
        <v>3.1</v>
      </c>
      <c r="AV80" s="253">
        <v>3.3</v>
      </c>
      <c r="AW80" s="253">
        <v>3.4</v>
      </c>
      <c r="AX80" s="223">
        <v>4</v>
      </c>
      <c r="AY80" s="459">
        <v>3.9</v>
      </c>
      <c r="AZ80" s="109">
        <v>4.0956425404879679</v>
      </c>
      <c r="BA80" s="251">
        <v>4.0999999999999996</v>
      </c>
      <c r="BB80" s="493"/>
    </row>
    <row r="81" spans="1:54" ht="12" customHeight="1" x14ac:dyDescent="0.25">
      <c r="A81" s="213" t="s">
        <v>61</v>
      </c>
      <c r="B81" s="438">
        <v>65.8</v>
      </c>
      <c r="C81" s="445">
        <v>58.7</v>
      </c>
      <c r="D81" s="252">
        <v>64.400000000000006</v>
      </c>
      <c r="E81" s="58">
        <v>86.2</v>
      </c>
      <c r="F81" s="252">
        <v>84.3</v>
      </c>
      <c r="G81" s="252">
        <v>81.5</v>
      </c>
      <c r="H81" s="252">
        <v>85.7</v>
      </c>
      <c r="I81" s="58">
        <v>87.7</v>
      </c>
      <c r="J81" s="252">
        <v>66.599999999999994</v>
      </c>
      <c r="K81" s="58">
        <v>77.845422605092878</v>
      </c>
      <c r="L81" s="252">
        <v>60.191559482437107</v>
      </c>
      <c r="M81" s="58">
        <v>64.073729632002184</v>
      </c>
      <c r="N81" s="471">
        <v>64.118368966704665</v>
      </c>
      <c r="O81" s="438">
        <v>18.2</v>
      </c>
      <c r="P81" s="446">
        <v>21.2</v>
      </c>
      <c r="Q81" s="446">
        <v>15.5</v>
      </c>
      <c r="R81" s="446">
        <v>6.7</v>
      </c>
      <c r="S81" s="446">
        <v>8.9</v>
      </c>
      <c r="T81" s="446">
        <v>11.9</v>
      </c>
      <c r="U81" s="446">
        <v>7.4</v>
      </c>
      <c r="V81" s="446">
        <v>4.9000000000000004</v>
      </c>
      <c r="W81" s="447">
        <v>11.2</v>
      </c>
      <c r="X81" s="58">
        <v>12.5</v>
      </c>
      <c r="Y81" s="439">
        <v>21.697021950696541</v>
      </c>
      <c r="Z81" s="58">
        <v>19.781776677971834</v>
      </c>
      <c r="AA81" s="471">
        <v>19.838069701171896</v>
      </c>
      <c r="AB81" s="438">
        <v>4.2</v>
      </c>
      <c r="AC81" s="446">
        <v>4.5999999999999996</v>
      </c>
      <c r="AD81" s="446">
        <v>4.7</v>
      </c>
      <c r="AE81" s="446">
        <v>2</v>
      </c>
      <c r="AF81" s="446">
        <v>2.2000000000000002</v>
      </c>
      <c r="AG81" s="446">
        <v>3.5</v>
      </c>
      <c r="AH81" s="446">
        <v>2.1</v>
      </c>
      <c r="AI81" s="446">
        <v>1.7</v>
      </c>
      <c r="AJ81" s="447">
        <v>3.5</v>
      </c>
      <c r="AK81" s="440">
        <v>2.9</v>
      </c>
      <c r="AL81" s="440">
        <v>4.5064244176306598</v>
      </c>
      <c r="AM81" s="440">
        <v>4.5256359098305712</v>
      </c>
      <c r="AN81" s="252">
        <v>4.8903218441149896</v>
      </c>
      <c r="AO81" s="252">
        <v>5.8</v>
      </c>
      <c r="AP81" s="441">
        <v>2.1</v>
      </c>
      <c r="AQ81" s="58">
        <v>4.9000000000000004</v>
      </c>
      <c r="AR81" s="442">
        <v>2</v>
      </c>
      <c r="AS81" s="442">
        <v>0.3</v>
      </c>
      <c r="AT81" s="446">
        <v>0.5</v>
      </c>
      <c r="AU81" s="445">
        <v>2.6</v>
      </c>
      <c r="AV81" s="252">
        <v>5.4</v>
      </c>
      <c r="AW81" s="252">
        <v>1.9</v>
      </c>
      <c r="AX81" s="58">
        <v>1</v>
      </c>
      <c r="AY81" s="252">
        <v>1.8866915360936394</v>
      </c>
      <c r="AZ81" s="58">
        <v>2.5969443996686956</v>
      </c>
      <c r="BA81" s="252" t="s">
        <v>160</v>
      </c>
      <c r="BB81" s="492"/>
    </row>
    <row r="82" spans="1:54" ht="12" customHeight="1" x14ac:dyDescent="0.25">
      <c r="A82" s="213" t="s">
        <v>63</v>
      </c>
      <c r="B82" s="438">
        <v>57.3</v>
      </c>
      <c r="C82" s="445">
        <v>56</v>
      </c>
      <c r="D82" s="252">
        <v>71.599999999999994</v>
      </c>
      <c r="E82" s="58">
        <v>67.7</v>
      </c>
      <c r="F82" s="252">
        <v>63.5</v>
      </c>
      <c r="G82" s="252">
        <v>79.7</v>
      </c>
      <c r="H82" s="252">
        <v>77</v>
      </c>
      <c r="I82" s="58">
        <v>61.2</v>
      </c>
      <c r="J82" s="252">
        <v>58.9</v>
      </c>
      <c r="K82" s="58">
        <v>54.773158048447243</v>
      </c>
      <c r="L82" s="252">
        <v>59.370641041893059</v>
      </c>
      <c r="M82" s="58">
        <v>54.858302493514813</v>
      </c>
      <c r="N82" s="471">
        <v>59.454626659772849</v>
      </c>
      <c r="O82" s="438">
        <v>28.9</v>
      </c>
      <c r="P82" s="446">
        <v>13.4</v>
      </c>
      <c r="Q82" s="446">
        <v>15.5</v>
      </c>
      <c r="R82" s="446">
        <v>16.7</v>
      </c>
      <c r="S82" s="446">
        <v>9.5</v>
      </c>
      <c r="T82" s="446">
        <v>9.5</v>
      </c>
      <c r="U82" s="446">
        <v>11.3</v>
      </c>
      <c r="V82" s="446">
        <v>16.8</v>
      </c>
      <c r="W82" s="447">
        <v>16.2</v>
      </c>
      <c r="X82" s="58">
        <v>20.399999999999999</v>
      </c>
      <c r="Y82" s="439">
        <v>17.134615135621303</v>
      </c>
      <c r="Z82" s="58">
        <v>23.75683288249467</v>
      </c>
      <c r="AA82" s="471">
        <v>22.366121860634859</v>
      </c>
      <c r="AB82" s="438">
        <v>5.9</v>
      </c>
      <c r="AC82" s="446">
        <v>3.1</v>
      </c>
      <c r="AD82" s="446">
        <v>4.7</v>
      </c>
      <c r="AE82" s="446">
        <v>5.3</v>
      </c>
      <c r="AF82" s="446">
        <v>2.7</v>
      </c>
      <c r="AG82" s="446">
        <v>2.8</v>
      </c>
      <c r="AH82" s="446">
        <v>3.4</v>
      </c>
      <c r="AI82" s="446">
        <v>4.5</v>
      </c>
      <c r="AJ82" s="447">
        <v>5</v>
      </c>
      <c r="AK82" s="440">
        <v>6.2</v>
      </c>
      <c r="AL82" s="440">
        <v>6.7900714150882298</v>
      </c>
      <c r="AM82" s="440">
        <v>6.7643572545083064</v>
      </c>
      <c r="AN82" s="252">
        <v>6.5282636727977765</v>
      </c>
      <c r="AO82" s="252">
        <v>1.6</v>
      </c>
      <c r="AP82" s="441">
        <v>1.8</v>
      </c>
      <c r="AQ82" s="58">
        <v>5.3</v>
      </c>
      <c r="AR82" s="442">
        <v>7.5</v>
      </c>
      <c r="AS82" s="442">
        <v>2</v>
      </c>
      <c r="AT82" s="446">
        <v>2.5</v>
      </c>
      <c r="AU82" s="445">
        <v>4.3</v>
      </c>
      <c r="AV82" s="252">
        <v>7.9</v>
      </c>
      <c r="AW82" s="252">
        <v>7.1</v>
      </c>
      <c r="AX82" s="58">
        <v>6.6</v>
      </c>
      <c r="AY82" s="252">
        <v>3.6191025535281023</v>
      </c>
      <c r="AZ82" s="58" t="s">
        <v>39</v>
      </c>
      <c r="BA82" s="252" t="s">
        <v>160</v>
      </c>
      <c r="BB82" s="492"/>
    </row>
    <row r="83" spans="1:54" ht="12" customHeight="1" x14ac:dyDescent="0.25">
      <c r="A83" s="213" t="s">
        <v>64</v>
      </c>
      <c r="B83" s="438">
        <v>60.2</v>
      </c>
      <c r="C83" s="445">
        <v>51.6</v>
      </c>
      <c r="D83" s="252">
        <v>49.8</v>
      </c>
      <c r="E83" s="58">
        <v>42.6</v>
      </c>
      <c r="F83" s="252">
        <v>55.3</v>
      </c>
      <c r="G83" s="252">
        <v>54</v>
      </c>
      <c r="H83" s="252">
        <v>61.7</v>
      </c>
      <c r="I83" s="58">
        <v>54.7</v>
      </c>
      <c r="J83" s="252">
        <v>58.4</v>
      </c>
      <c r="K83" s="58">
        <v>60.426618733119383</v>
      </c>
      <c r="L83" s="252">
        <v>56.625145033184474</v>
      </c>
      <c r="M83" s="58">
        <v>56.287847230095203</v>
      </c>
      <c r="N83" s="471">
        <v>59.179448055719575</v>
      </c>
      <c r="O83" s="438">
        <v>21.1</v>
      </c>
      <c r="P83" s="446">
        <v>26</v>
      </c>
      <c r="Q83" s="446">
        <v>23.7</v>
      </c>
      <c r="R83" s="446">
        <v>22.5</v>
      </c>
      <c r="S83" s="446">
        <v>21.6</v>
      </c>
      <c r="T83" s="446">
        <v>24.1</v>
      </c>
      <c r="U83" s="446">
        <v>17.8</v>
      </c>
      <c r="V83" s="446">
        <v>23.9</v>
      </c>
      <c r="W83" s="447">
        <v>23.3</v>
      </c>
      <c r="X83" s="58">
        <v>22.7</v>
      </c>
      <c r="Y83" s="439">
        <v>22.350005341877381</v>
      </c>
      <c r="Z83" s="58">
        <v>24.192942988867323</v>
      </c>
      <c r="AA83" s="471">
        <v>22.994221981131769</v>
      </c>
      <c r="AB83" s="438">
        <v>5.4</v>
      </c>
      <c r="AC83" s="446">
        <v>6.1</v>
      </c>
      <c r="AD83" s="446">
        <v>6.9</v>
      </c>
      <c r="AE83" s="446">
        <v>6.3</v>
      </c>
      <c r="AF83" s="446">
        <v>6.1</v>
      </c>
      <c r="AG83" s="446">
        <v>7.2</v>
      </c>
      <c r="AH83" s="446">
        <v>5.2</v>
      </c>
      <c r="AI83" s="446">
        <v>7.4</v>
      </c>
      <c r="AJ83" s="447">
        <v>6.4</v>
      </c>
      <c r="AK83" s="440">
        <v>6.4</v>
      </c>
      <c r="AL83" s="440">
        <v>7.038207881081604</v>
      </c>
      <c r="AM83" s="440">
        <v>6.6178938629014308</v>
      </c>
      <c r="AN83" s="252">
        <v>6.3532687453718966</v>
      </c>
      <c r="AO83" s="252">
        <v>1.7</v>
      </c>
      <c r="AP83" s="441">
        <v>2.9</v>
      </c>
      <c r="AQ83" s="58">
        <v>3.2</v>
      </c>
      <c r="AR83" s="442">
        <v>3.1</v>
      </c>
      <c r="AS83" s="442">
        <v>2.9</v>
      </c>
      <c r="AT83" s="446">
        <v>3</v>
      </c>
      <c r="AU83" s="445">
        <v>2.2999999999999998</v>
      </c>
      <c r="AV83" s="252">
        <v>2.9</v>
      </c>
      <c r="AW83" s="252">
        <v>2.7</v>
      </c>
      <c r="AX83" s="58">
        <v>2.6</v>
      </c>
      <c r="AY83" s="252">
        <v>2.9352946012179393</v>
      </c>
      <c r="AZ83" s="58">
        <v>2.6910808720235262</v>
      </c>
      <c r="BA83" s="252">
        <v>2.6</v>
      </c>
      <c r="BB83" s="492"/>
    </row>
    <row r="84" spans="1:54" ht="12" customHeight="1" x14ac:dyDescent="0.25">
      <c r="A84" s="213" t="s">
        <v>65</v>
      </c>
      <c r="B84" s="438">
        <v>65.3</v>
      </c>
      <c r="C84" s="445">
        <v>64.5</v>
      </c>
      <c r="D84" s="252">
        <v>69.599999999999994</v>
      </c>
      <c r="E84" s="58">
        <v>68.599999999999994</v>
      </c>
      <c r="F84" s="252">
        <v>70.5</v>
      </c>
      <c r="G84" s="252">
        <v>70.099999999999994</v>
      </c>
      <c r="H84" s="252">
        <v>70.2</v>
      </c>
      <c r="I84" s="58">
        <v>63.6</v>
      </c>
      <c r="J84" s="252">
        <v>62.5</v>
      </c>
      <c r="K84" s="58">
        <v>61.027021449360241</v>
      </c>
      <c r="L84" s="252">
        <v>62.540943202981779</v>
      </c>
      <c r="M84" s="58">
        <v>64.399727338277913</v>
      </c>
      <c r="N84" s="471">
        <v>63.769271224288879</v>
      </c>
      <c r="O84" s="438">
        <v>20.7</v>
      </c>
      <c r="P84" s="446">
        <v>20.2</v>
      </c>
      <c r="Q84" s="446">
        <v>15</v>
      </c>
      <c r="R84" s="446">
        <v>16.100000000000001</v>
      </c>
      <c r="S84" s="446">
        <v>15.4</v>
      </c>
      <c r="T84" s="446">
        <v>15.5</v>
      </c>
      <c r="U84" s="446">
        <v>15.7</v>
      </c>
      <c r="V84" s="446">
        <v>19.8</v>
      </c>
      <c r="W84" s="447">
        <v>20</v>
      </c>
      <c r="X84" s="58">
        <v>20.9</v>
      </c>
      <c r="Y84" s="439">
        <v>23.50429302339225</v>
      </c>
      <c r="Z84" s="58">
        <v>19.643527863264566</v>
      </c>
      <c r="AA84" s="471">
        <v>20.510322884783374</v>
      </c>
      <c r="AB84" s="438">
        <v>4.7</v>
      </c>
      <c r="AC84" s="446">
        <v>4.8</v>
      </c>
      <c r="AD84" s="446">
        <v>4.8</v>
      </c>
      <c r="AE84" s="446">
        <v>4.5999999999999996</v>
      </c>
      <c r="AF84" s="446">
        <v>4.5999999999999996</v>
      </c>
      <c r="AG84" s="446">
        <v>4.7</v>
      </c>
      <c r="AH84" s="446">
        <v>4.8</v>
      </c>
      <c r="AI84" s="446">
        <v>5.7</v>
      </c>
      <c r="AJ84" s="447">
        <v>6.2</v>
      </c>
      <c r="AK84" s="440">
        <v>6.5</v>
      </c>
      <c r="AL84" s="440">
        <v>6.0663510256943685</v>
      </c>
      <c r="AM84" s="440">
        <v>5.9255825697605786</v>
      </c>
      <c r="AN84" s="252">
        <v>6.0876095254922891E-4</v>
      </c>
      <c r="AO84" s="252">
        <v>2.6</v>
      </c>
      <c r="AP84" s="441">
        <v>4</v>
      </c>
      <c r="AQ84" s="58">
        <v>2.4</v>
      </c>
      <c r="AR84" s="442">
        <v>2.8</v>
      </c>
      <c r="AS84" s="442">
        <v>2.4</v>
      </c>
      <c r="AT84" s="446">
        <v>2.5</v>
      </c>
      <c r="AU84" s="445">
        <v>2.7</v>
      </c>
      <c r="AV84" s="252">
        <v>2.6</v>
      </c>
      <c r="AW84" s="252">
        <v>2.5</v>
      </c>
      <c r="AX84" s="58">
        <v>2.9</v>
      </c>
      <c r="AY84" s="252">
        <v>2.4102747403567411</v>
      </c>
      <c r="AZ84" s="58">
        <v>1.8582936618759802</v>
      </c>
      <c r="BA84" s="252">
        <v>2.4</v>
      </c>
      <c r="BB84" s="492"/>
    </row>
    <row r="85" spans="1:54" ht="12" customHeight="1" x14ac:dyDescent="0.25">
      <c r="A85" s="213" t="s">
        <v>67</v>
      </c>
      <c r="B85" s="438">
        <v>51.3</v>
      </c>
      <c r="C85" s="445">
        <v>51.8</v>
      </c>
      <c r="D85" s="252">
        <v>51.8</v>
      </c>
      <c r="E85" s="58">
        <v>53.9</v>
      </c>
      <c r="F85" s="252">
        <v>56.4</v>
      </c>
      <c r="G85" s="252">
        <v>52.2</v>
      </c>
      <c r="H85" s="252">
        <v>54.4</v>
      </c>
      <c r="I85" s="58">
        <v>55</v>
      </c>
      <c r="J85" s="252">
        <v>51.1</v>
      </c>
      <c r="K85" s="58">
        <v>50.430503600401167</v>
      </c>
      <c r="L85" s="252">
        <v>52.072964816227021</v>
      </c>
      <c r="M85" s="58">
        <v>50.455323325905852</v>
      </c>
      <c r="N85" s="471">
        <v>48.777643368509068</v>
      </c>
      <c r="O85" s="438">
        <v>24.8</v>
      </c>
      <c r="P85" s="446">
        <v>28.1</v>
      </c>
      <c r="Q85" s="446">
        <v>26.6</v>
      </c>
      <c r="R85" s="446">
        <v>27.5</v>
      </c>
      <c r="S85" s="446">
        <v>25.9</v>
      </c>
      <c r="T85" s="446">
        <v>29</v>
      </c>
      <c r="U85" s="446">
        <v>28.8</v>
      </c>
      <c r="V85" s="446">
        <v>26.8</v>
      </c>
      <c r="W85" s="447">
        <v>29.4</v>
      </c>
      <c r="X85" s="58">
        <v>28.4</v>
      </c>
      <c r="Y85" s="439">
        <v>19.396788248930843</v>
      </c>
      <c r="Z85" s="58">
        <v>28.549068280079986</v>
      </c>
      <c r="AA85" s="471">
        <v>25.577922677339192</v>
      </c>
      <c r="AB85" s="438">
        <v>6</v>
      </c>
      <c r="AC85" s="446">
        <v>5.6</v>
      </c>
      <c r="AD85" s="446">
        <v>6.6</v>
      </c>
      <c r="AE85" s="446">
        <v>6.7</v>
      </c>
      <c r="AF85" s="446">
        <v>6.6</v>
      </c>
      <c r="AG85" s="446">
        <v>7.3</v>
      </c>
      <c r="AH85" s="446">
        <v>7.9</v>
      </c>
      <c r="AI85" s="446">
        <v>7.4</v>
      </c>
      <c r="AJ85" s="447">
        <v>7.7</v>
      </c>
      <c r="AK85" s="440">
        <v>7.3</v>
      </c>
      <c r="AL85" s="440">
        <v>7.2470174977143431</v>
      </c>
      <c r="AM85" s="440">
        <v>7.7588982360314471</v>
      </c>
      <c r="AN85" s="252">
        <v>6.7955792415591132</v>
      </c>
      <c r="AO85" s="252">
        <v>3.3</v>
      </c>
      <c r="AP85" s="441">
        <v>3.3</v>
      </c>
      <c r="AQ85" s="58">
        <v>3.2</v>
      </c>
      <c r="AR85" s="442">
        <v>3.2</v>
      </c>
      <c r="AS85" s="442">
        <v>3.3</v>
      </c>
      <c r="AT85" s="446">
        <v>3.9</v>
      </c>
      <c r="AU85" s="445">
        <v>3.5</v>
      </c>
      <c r="AV85" s="252">
        <v>3.1</v>
      </c>
      <c r="AW85" s="252">
        <v>3.2</v>
      </c>
      <c r="AX85" s="58">
        <v>3.8</v>
      </c>
      <c r="AY85" s="252">
        <v>3.9984623647962194</v>
      </c>
      <c r="AZ85" s="58">
        <v>3.1520558962858414</v>
      </c>
      <c r="BA85" s="252">
        <v>2.8</v>
      </c>
      <c r="BB85" s="492"/>
    </row>
    <row r="86" spans="1:54" ht="12" customHeight="1" x14ac:dyDescent="0.25">
      <c r="A86" s="213" t="s">
        <v>68</v>
      </c>
      <c r="B86" s="438">
        <v>54.5</v>
      </c>
      <c r="C86" s="445">
        <v>51.7</v>
      </c>
      <c r="D86" s="252">
        <v>49.3</v>
      </c>
      <c r="E86" s="58">
        <v>51.5</v>
      </c>
      <c r="F86" s="252">
        <v>55.7</v>
      </c>
      <c r="G86" s="252">
        <v>54.2</v>
      </c>
      <c r="H86" s="252">
        <v>57.6</v>
      </c>
      <c r="I86" s="58">
        <v>64.2</v>
      </c>
      <c r="J86" s="252">
        <v>62.8</v>
      </c>
      <c r="K86" s="58">
        <v>55.553428821051867</v>
      </c>
      <c r="L86" s="252">
        <v>58.1604513025313</v>
      </c>
      <c r="M86" s="58">
        <v>53.467289811340876</v>
      </c>
      <c r="N86" s="471">
        <v>58.490069801021974</v>
      </c>
      <c r="O86" s="438">
        <v>27.8</v>
      </c>
      <c r="P86" s="446">
        <v>23.1</v>
      </c>
      <c r="Q86" s="446">
        <v>24.3</v>
      </c>
      <c r="R86" s="446">
        <v>24.2</v>
      </c>
      <c r="S86" s="446">
        <v>18.399999999999999</v>
      </c>
      <c r="T86" s="446">
        <v>21.1</v>
      </c>
      <c r="U86" s="446">
        <v>17.8</v>
      </c>
      <c r="V86" s="446">
        <v>14.4</v>
      </c>
      <c r="W86" s="447">
        <v>16.899999999999999</v>
      </c>
      <c r="X86" s="58">
        <v>21.040556270660208</v>
      </c>
      <c r="Y86" s="439">
        <v>27.203196557318517</v>
      </c>
      <c r="Z86" s="58">
        <v>21.995097216862646</v>
      </c>
      <c r="AA86" s="471">
        <v>17.15320576682997</v>
      </c>
      <c r="AB86" s="438">
        <v>6.9</v>
      </c>
      <c r="AC86" s="446">
        <v>4.8</v>
      </c>
      <c r="AD86" s="446">
        <v>7.1</v>
      </c>
      <c r="AE86" s="446">
        <v>6.3</v>
      </c>
      <c r="AF86" s="446">
        <v>5</v>
      </c>
      <c r="AG86" s="446">
        <v>5.6</v>
      </c>
      <c r="AH86" s="446">
        <v>4.8</v>
      </c>
      <c r="AI86" s="446">
        <v>4</v>
      </c>
      <c r="AJ86" s="447">
        <v>4.7</v>
      </c>
      <c r="AK86" s="440">
        <v>5.8</v>
      </c>
      <c r="AL86" s="440">
        <v>5.5242562282711942</v>
      </c>
      <c r="AM86" s="440">
        <v>6.0206453153468713</v>
      </c>
      <c r="AN86" s="252">
        <v>4.7522303301319493</v>
      </c>
      <c r="AO86" s="252">
        <v>2.2999999999999998</v>
      </c>
      <c r="AP86" s="441">
        <v>3.2</v>
      </c>
      <c r="AQ86" s="58">
        <v>4.5999999999999996</v>
      </c>
      <c r="AR86" s="442">
        <v>4.0999999999999996</v>
      </c>
      <c r="AS86" s="442">
        <v>3.4</v>
      </c>
      <c r="AT86" s="446">
        <v>4.2</v>
      </c>
      <c r="AU86" s="445">
        <v>3.5</v>
      </c>
      <c r="AV86" s="252">
        <v>3.8</v>
      </c>
      <c r="AW86" s="252">
        <v>3.8</v>
      </c>
      <c r="AX86" s="58">
        <v>2.8768246023151574</v>
      </c>
      <c r="AY86" s="252">
        <v>3.5313223760375831</v>
      </c>
      <c r="AZ86" s="58">
        <v>3.9829018237620395</v>
      </c>
      <c r="BA86" s="252">
        <v>3.8</v>
      </c>
      <c r="BB86" s="492"/>
    </row>
    <row r="87" spans="1:54" ht="12" customHeight="1" x14ac:dyDescent="0.25">
      <c r="A87" s="213" t="s">
        <v>156</v>
      </c>
      <c r="B87" s="438">
        <v>61.6</v>
      </c>
      <c r="C87" s="445">
        <v>62.6</v>
      </c>
      <c r="D87" s="252">
        <v>64.7</v>
      </c>
      <c r="E87" s="58">
        <v>66.900000000000006</v>
      </c>
      <c r="F87" s="252">
        <v>62</v>
      </c>
      <c r="G87" s="252">
        <v>70.5</v>
      </c>
      <c r="H87" s="252">
        <v>66.099999999999994</v>
      </c>
      <c r="I87" s="58">
        <v>63.1</v>
      </c>
      <c r="J87" s="252">
        <v>65.400000000000006</v>
      </c>
      <c r="K87" s="58">
        <v>62.118180546487757</v>
      </c>
      <c r="L87" s="252">
        <v>60.263224129996388</v>
      </c>
      <c r="M87" s="58">
        <v>61.940616092821507</v>
      </c>
      <c r="N87" s="471">
        <v>58.824822724008676</v>
      </c>
      <c r="O87" s="438">
        <v>22.3</v>
      </c>
      <c r="P87" s="446">
        <v>19.899999999999999</v>
      </c>
      <c r="Q87" s="446">
        <v>18.600000000000001</v>
      </c>
      <c r="R87" s="446">
        <v>16.899999999999999</v>
      </c>
      <c r="S87" s="446">
        <v>19.100000000000001</v>
      </c>
      <c r="T87" s="446">
        <v>12.2</v>
      </c>
      <c r="U87" s="446">
        <v>16.600000000000001</v>
      </c>
      <c r="V87" s="446">
        <v>17.899999999999999</v>
      </c>
      <c r="W87" s="447">
        <v>15.3</v>
      </c>
      <c r="X87" s="58">
        <v>15.969740527223381</v>
      </c>
      <c r="Y87" s="439">
        <v>19.779707744117996</v>
      </c>
      <c r="Z87" s="58">
        <v>15.848421155634062</v>
      </c>
      <c r="AA87" s="471">
        <v>18.041259197215965</v>
      </c>
      <c r="AB87" s="438">
        <v>5.3</v>
      </c>
      <c r="AC87" s="446">
        <v>4.8</v>
      </c>
      <c r="AD87" s="446">
        <v>5.9</v>
      </c>
      <c r="AE87" s="446">
        <v>4.9000000000000004</v>
      </c>
      <c r="AF87" s="446">
        <v>5.4</v>
      </c>
      <c r="AG87" s="446">
        <v>3.5</v>
      </c>
      <c r="AH87" s="446">
        <v>5</v>
      </c>
      <c r="AI87" s="446">
        <v>5.3</v>
      </c>
      <c r="AJ87" s="447">
        <v>4.5999999999999996</v>
      </c>
      <c r="AK87" s="440">
        <v>4.5999999999999996</v>
      </c>
      <c r="AL87" s="440">
        <v>5.3864128824794157</v>
      </c>
      <c r="AM87" s="440">
        <v>4.5156912052724989</v>
      </c>
      <c r="AN87" s="252">
        <v>5.1291655621126724</v>
      </c>
      <c r="AO87" s="252">
        <v>2.6</v>
      </c>
      <c r="AP87" s="441">
        <v>1.8</v>
      </c>
      <c r="AQ87" s="58">
        <v>1.8</v>
      </c>
      <c r="AR87" s="442">
        <v>1.9</v>
      </c>
      <c r="AS87" s="442">
        <v>2.2000000000000002</v>
      </c>
      <c r="AT87" s="446">
        <v>1.9</v>
      </c>
      <c r="AU87" s="445">
        <v>2.6</v>
      </c>
      <c r="AV87" s="252">
        <v>3.5</v>
      </c>
      <c r="AW87" s="252">
        <v>4.2</v>
      </c>
      <c r="AX87" s="58">
        <v>5.5</v>
      </c>
      <c r="AY87" s="252">
        <v>6.9662131867604042</v>
      </c>
      <c r="AZ87" s="58">
        <v>7.3581554805806029</v>
      </c>
      <c r="BA87" s="252">
        <v>7.5</v>
      </c>
      <c r="BB87" s="492"/>
    </row>
    <row r="88" spans="1:54" ht="12" customHeight="1" x14ac:dyDescent="0.25">
      <c r="A88" s="213" t="s">
        <v>69</v>
      </c>
      <c r="B88" s="438">
        <v>60.3</v>
      </c>
      <c r="C88" s="445">
        <v>64.099999999999994</v>
      </c>
      <c r="D88" s="252">
        <v>65.599999999999994</v>
      </c>
      <c r="E88" s="58">
        <v>62.2</v>
      </c>
      <c r="F88" s="252">
        <v>61.6</v>
      </c>
      <c r="G88" s="252">
        <v>63.3</v>
      </c>
      <c r="H88" s="252">
        <v>55.7</v>
      </c>
      <c r="I88" s="58">
        <v>55.1</v>
      </c>
      <c r="J88" s="252">
        <v>58.7</v>
      </c>
      <c r="K88" s="58">
        <v>59.748133593985742</v>
      </c>
      <c r="L88" s="252">
        <v>64.444223912294746</v>
      </c>
      <c r="M88" s="58">
        <v>60.735952961293357</v>
      </c>
      <c r="N88" s="471">
        <v>54.751240299792414</v>
      </c>
      <c r="O88" s="438">
        <v>21.9</v>
      </c>
      <c r="P88" s="446">
        <v>17.600000000000001</v>
      </c>
      <c r="Q88" s="446">
        <v>17.100000000000001</v>
      </c>
      <c r="R88" s="446">
        <v>18.3</v>
      </c>
      <c r="S88" s="446">
        <v>17.399999999999999</v>
      </c>
      <c r="T88" s="446">
        <v>17.100000000000001</v>
      </c>
      <c r="U88" s="446">
        <v>19.3</v>
      </c>
      <c r="V88" s="446">
        <v>20.8</v>
      </c>
      <c r="W88" s="447">
        <v>18.7</v>
      </c>
      <c r="X88" s="58">
        <v>19.261393185722454</v>
      </c>
      <c r="Y88" s="439">
        <v>18.107501172061088</v>
      </c>
      <c r="Z88" s="58">
        <v>22.070760131893024</v>
      </c>
      <c r="AA88" s="471">
        <v>21.160516617593615</v>
      </c>
      <c r="AB88" s="438">
        <v>5.4</v>
      </c>
      <c r="AC88" s="446">
        <v>4.0999999999999996</v>
      </c>
      <c r="AD88" s="446">
        <v>4.9000000000000004</v>
      </c>
      <c r="AE88" s="446">
        <v>5</v>
      </c>
      <c r="AF88" s="446">
        <v>4.5999999999999996</v>
      </c>
      <c r="AG88" s="446">
        <v>4.5</v>
      </c>
      <c r="AH88" s="446">
        <v>5.4</v>
      </c>
      <c r="AI88" s="446">
        <v>5.7</v>
      </c>
      <c r="AJ88" s="447">
        <v>5</v>
      </c>
      <c r="AK88" s="440">
        <v>5</v>
      </c>
      <c r="AL88" s="440">
        <v>5.3298057001082375</v>
      </c>
      <c r="AM88" s="440">
        <v>5.9554441329444803</v>
      </c>
      <c r="AN88" s="252">
        <v>5.2888817508349719</v>
      </c>
      <c r="AO88" s="252">
        <v>1.7</v>
      </c>
      <c r="AP88" s="441">
        <v>2.6</v>
      </c>
      <c r="AQ88" s="58">
        <v>2.2999999999999998</v>
      </c>
      <c r="AR88" s="442">
        <v>2.2000000000000002</v>
      </c>
      <c r="AS88" s="442">
        <v>4.4000000000000004</v>
      </c>
      <c r="AT88" s="446">
        <v>3.4</v>
      </c>
      <c r="AU88" s="445">
        <v>3.7</v>
      </c>
      <c r="AV88" s="252">
        <v>4.4000000000000004</v>
      </c>
      <c r="AW88" s="252">
        <v>4</v>
      </c>
      <c r="AX88" s="58">
        <v>3.8</v>
      </c>
      <c r="AY88" s="252">
        <v>2.4009500058601483</v>
      </c>
      <c r="AZ88" s="58">
        <v>3.2060894532713018</v>
      </c>
      <c r="BA88" s="252">
        <v>4.2</v>
      </c>
      <c r="BB88" s="492"/>
    </row>
    <row r="89" spans="1:54" ht="12" customHeight="1" x14ac:dyDescent="0.25">
      <c r="A89" s="213" t="s">
        <v>70</v>
      </c>
      <c r="B89" s="438">
        <v>63.8</v>
      </c>
      <c r="C89" s="445">
        <v>52.8</v>
      </c>
      <c r="D89" s="252">
        <v>52.2</v>
      </c>
      <c r="E89" s="58">
        <v>55.5</v>
      </c>
      <c r="F89" s="252">
        <v>55.7</v>
      </c>
      <c r="G89" s="252">
        <v>62.5</v>
      </c>
      <c r="H89" s="252">
        <v>62.5</v>
      </c>
      <c r="I89" s="58">
        <v>62.7</v>
      </c>
      <c r="J89" s="252">
        <v>56.9</v>
      </c>
      <c r="K89" s="58">
        <v>57.849840755061301</v>
      </c>
      <c r="L89" s="252">
        <v>57.3590374111957</v>
      </c>
      <c r="M89" s="58">
        <v>56.599781208659017</v>
      </c>
      <c r="N89" s="471">
        <v>64.304937750795133</v>
      </c>
      <c r="O89" s="438">
        <v>20.6</v>
      </c>
      <c r="P89" s="446">
        <v>26.4</v>
      </c>
      <c r="Q89" s="446">
        <v>24.3</v>
      </c>
      <c r="R89" s="446">
        <v>24.9</v>
      </c>
      <c r="S89" s="446">
        <v>24.1</v>
      </c>
      <c r="T89" s="446">
        <v>20.7</v>
      </c>
      <c r="U89" s="446">
        <v>19</v>
      </c>
      <c r="V89" s="446">
        <v>19.5</v>
      </c>
      <c r="W89" s="447">
        <v>23</v>
      </c>
      <c r="X89" s="58">
        <v>21.770787134853869</v>
      </c>
      <c r="Y89" s="439">
        <v>19.206744100485302</v>
      </c>
      <c r="Z89" s="58">
        <v>18.596026007773183</v>
      </c>
      <c r="AA89" s="471">
        <v>18.445770712856074</v>
      </c>
      <c r="AB89" s="438">
        <v>5.0999999999999996</v>
      </c>
      <c r="AC89" s="446">
        <v>5.5</v>
      </c>
      <c r="AD89" s="446">
        <v>6.6</v>
      </c>
      <c r="AE89" s="446">
        <v>7.2</v>
      </c>
      <c r="AF89" s="446">
        <v>6.5</v>
      </c>
      <c r="AG89" s="446">
        <v>5.5</v>
      </c>
      <c r="AH89" s="446">
        <v>5.5</v>
      </c>
      <c r="AI89" s="446">
        <v>5.6</v>
      </c>
      <c r="AJ89" s="447">
        <v>6.5</v>
      </c>
      <c r="AK89" s="440">
        <v>6.4</v>
      </c>
      <c r="AL89" s="440">
        <v>4.3532096371255848</v>
      </c>
      <c r="AM89" s="440">
        <v>4.2645082137652848</v>
      </c>
      <c r="AN89" s="252">
        <v>4.4613541061245359</v>
      </c>
      <c r="AO89" s="252">
        <v>2.9</v>
      </c>
      <c r="AP89" s="441">
        <v>3.2</v>
      </c>
      <c r="AQ89" s="58">
        <v>2.9</v>
      </c>
      <c r="AR89" s="442">
        <v>3</v>
      </c>
      <c r="AS89" s="442">
        <v>2.7</v>
      </c>
      <c r="AT89" s="446">
        <v>3.4</v>
      </c>
      <c r="AU89" s="445">
        <v>4.7</v>
      </c>
      <c r="AV89" s="252">
        <v>3.5</v>
      </c>
      <c r="AW89" s="252">
        <v>3.2</v>
      </c>
      <c r="AX89" s="58">
        <v>3</v>
      </c>
      <c r="AY89" s="252">
        <v>2.1571188708921412</v>
      </c>
      <c r="AZ89" s="58">
        <v>2.4517642214227737</v>
      </c>
      <c r="BA89" s="252">
        <v>2.7</v>
      </c>
      <c r="BB89" s="492"/>
    </row>
    <row r="90" spans="1:54" ht="12" customHeight="1" x14ac:dyDescent="0.25">
      <c r="A90" s="213" t="s">
        <v>71</v>
      </c>
      <c r="B90" s="438">
        <v>66.8</v>
      </c>
      <c r="C90" s="445">
        <v>63.8</v>
      </c>
      <c r="D90" s="252">
        <v>67.5</v>
      </c>
      <c r="E90" s="58">
        <v>60</v>
      </c>
      <c r="F90" s="252">
        <v>66.7</v>
      </c>
      <c r="G90" s="252">
        <v>61.8</v>
      </c>
      <c r="H90" s="252">
        <v>69</v>
      </c>
      <c r="I90" s="58">
        <v>59.7</v>
      </c>
      <c r="J90" s="252">
        <v>59.5</v>
      </c>
      <c r="K90" s="58">
        <v>53.026679199529802</v>
      </c>
      <c r="L90" s="252">
        <v>54.874357743028014</v>
      </c>
      <c r="M90" s="58">
        <v>52.65429002190195</v>
      </c>
      <c r="N90" s="471">
        <v>54.236625283436524</v>
      </c>
      <c r="O90" s="438">
        <v>16.100000000000001</v>
      </c>
      <c r="P90" s="446">
        <v>18.100000000000001</v>
      </c>
      <c r="Q90" s="446">
        <v>14.6</v>
      </c>
      <c r="R90" s="446">
        <v>15.9</v>
      </c>
      <c r="S90" s="446">
        <v>13.2</v>
      </c>
      <c r="T90" s="446">
        <v>17.899999999999999</v>
      </c>
      <c r="U90" s="446">
        <v>14.6</v>
      </c>
      <c r="V90" s="446">
        <v>16.7</v>
      </c>
      <c r="W90" s="447">
        <v>18.600000000000001</v>
      </c>
      <c r="X90" s="58">
        <v>22.610855324425533</v>
      </c>
      <c r="Y90" s="439">
        <v>17.657576457025939</v>
      </c>
      <c r="Z90" s="58">
        <v>25.441538026819728</v>
      </c>
      <c r="AA90" s="471">
        <v>22.702037559693281</v>
      </c>
      <c r="AB90" s="438">
        <v>3.9</v>
      </c>
      <c r="AC90" s="446">
        <v>3.8</v>
      </c>
      <c r="AD90" s="446">
        <v>4.3</v>
      </c>
      <c r="AE90" s="446">
        <v>4.5</v>
      </c>
      <c r="AF90" s="446">
        <v>3.7</v>
      </c>
      <c r="AG90" s="446">
        <v>5.0999999999999996</v>
      </c>
      <c r="AH90" s="446">
        <v>4.0999999999999996</v>
      </c>
      <c r="AI90" s="446">
        <v>4.5999999999999996</v>
      </c>
      <c r="AJ90" s="447">
        <v>5.3</v>
      </c>
      <c r="AK90" s="440">
        <v>6.2</v>
      </c>
      <c r="AL90" s="440">
        <v>6.5534410090487532</v>
      </c>
      <c r="AM90" s="440">
        <v>6.9187929849014189</v>
      </c>
      <c r="AN90" s="252">
        <v>6.308944658682675</v>
      </c>
      <c r="AO90" s="252">
        <v>2.6</v>
      </c>
      <c r="AP90" s="441">
        <v>2.2999999999999998</v>
      </c>
      <c r="AQ90" s="58">
        <v>2.5</v>
      </c>
      <c r="AR90" s="442">
        <v>2.2999999999999998</v>
      </c>
      <c r="AS90" s="442">
        <v>1.4</v>
      </c>
      <c r="AT90" s="446">
        <v>1.7</v>
      </c>
      <c r="AU90" s="445">
        <v>1.2</v>
      </c>
      <c r="AV90" s="252">
        <v>1.6</v>
      </c>
      <c r="AW90" s="252">
        <v>1.7</v>
      </c>
      <c r="AX90" s="58">
        <v>1.8</v>
      </c>
      <c r="AY90" s="252">
        <v>1.7451277788405544</v>
      </c>
      <c r="AZ90" s="58">
        <v>1.8961112789266761</v>
      </c>
      <c r="BA90" s="252">
        <v>1.9</v>
      </c>
      <c r="BB90" s="492"/>
    </row>
    <row r="91" spans="1:54" s="23" customFormat="1" ht="22.5" customHeight="1" x14ac:dyDescent="0.25">
      <c r="A91" s="430" t="s">
        <v>149</v>
      </c>
      <c r="B91" s="451">
        <v>57</v>
      </c>
      <c r="C91" s="452">
        <v>54.1</v>
      </c>
      <c r="D91" s="253">
        <v>66.2</v>
      </c>
      <c r="E91" s="223">
        <v>53.9</v>
      </c>
      <c r="F91" s="253">
        <v>52</v>
      </c>
      <c r="G91" s="253">
        <v>51.4</v>
      </c>
      <c r="H91" s="253">
        <v>54.9</v>
      </c>
      <c r="I91" s="223">
        <v>52.9</v>
      </c>
      <c r="J91" s="253">
        <v>55.8</v>
      </c>
      <c r="K91" s="223">
        <v>51.8</v>
      </c>
      <c r="L91" s="253">
        <v>52</v>
      </c>
      <c r="M91" s="109">
        <v>54.512521105622355</v>
      </c>
      <c r="N91" s="480">
        <v>49.300739280512019</v>
      </c>
      <c r="O91" s="451">
        <v>25</v>
      </c>
      <c r="P91" s="453">
        <v>23.1</v>
      </c>
      <c r="Q91" s="453">
        <v>21.7</v>
      </c>
      <c r="R91" s="453">
        <v>21.5</v>
      </c>
      <c r="S91" s="453">
        <v>23.3</v>
      </c>
      <c r="T91" s="453">
        <v>24.3</v>
      </c>
      <c r="U91" s="453">
        <v>22.4</v>
      </c>
      <c r="V91" s="453">
        <v>22.6</v>
      </c>
      <c r="W91" s="454">
        <v>23</v>
      </c>
      <c r="X91" s="223">
        <v>23.5</v>
      </c>
      <c r="Y91" s="455">
        <v>24.7</v>
      </c>
      <c r="Z91" s="109">
        <v>24.291349284870801</v>
      </c>
      <c r="AA91" s="480">
        <v>25.333275603771821</v>
      </c>
      <c r="AB91" s="451">
        <v>5.5</v>
      </c>
      <c r="AC91" s="453">
        <v>4.8</v>
      </c>
      <c r="AD91" s="453">
        <v>5.6</v>
      </c>
      <c r="AE91" s="453">
        <v>5.4</v>
      </c>
      <c r="AF91" s="453">
        <v>6</v>
      </c>
      <c r="AG91" s="453">
        <v>6.3</v>
      </c>
      <c r="AH91" s="453">
        <v>5.9</v>
      </c>
      <c r="AI91" s="453">
        <v>5.5</v>
      </c>
      <c r="AJ91" s="454">
        <v>5.9</v>
      </c>
      <c r="AK91" s="456">
        <v>5.9</v>
      </c>
      <c r="AL91" s="456">
        <v>6.3</v>
      </c>
      <c r="AM91" s="437">
        <v>6.2901928290523736</v>
      </c>
      <c r="AN91" s="251">
        <v>6.5556786639155593</v>
      </c>
      <c r="AO91" s="253">
        <v>2.1</v>
      </c>
      <c r="AP91" s="457">
        <v>2.9</v>
      </c>
      <c r="AQ91" s="223">
        <v>2.9</v>
      </c>
      <c r="AR91" s="458">
        <v>3.2</v>
      </c>
      <c r="AS91" s="458">
        <v>3.6</v>
      </c>
      <c r="AT91" s="453">
        <v>3.8</v>
      </c>
      <c r="AU91" s="452">
        <v>4</v>
      </c>
      <c r="AV91" s="253">
        <v>4.2</v>
      </c>
      <c r="AW91" s="253">
        <v>4.0999999999999996</v>
      </c>
      <c r="AX91" s="460">
        <v>4.9000000000000004</v>
      </c>
      <c r="AY91" s="459">
        <v>4.0999999999999996</v>
      </c>
      <c r="AZ91" s="109">
        <v>4.4843302390718733</v>
      </c>
      <c r="BA91" s="251">
        <v>3.5</v>
      </c>
      <c r="BB91" s="493"/>
    </row>
    <row r="92" spans="1:54" ht="12" customHeight="1" x14ac:dyDescent="0.25">
      <c r="A92" s="213" t="s">
        <v>62</v>
      </c>
      <c r="B92" s="438">
        <v>55</v>
      </c>
      <c r="C92" s="445">
        <v>52.9</v>
      </c>
      <c r="D92" s="252">
        <v>53.7</v>
      </c>
      <c r="E92" s="58">
        <v>51.8</v>
      </c>
      <c r="F92" s="252">
        <v>59.1</v>
      </c>
      <c r="G92" s="252">
        <v>55.3</v>
      </c>
      <c r="H92" s="252">
        <v>48</v>
      </c>
      <c r="I92" s="58">
        <v>42.6</v>
      </c>
      <c r="J92" s="252">
        <v>59.8</v>
      </c>
      <c r="K92" s="58">
        <v>61.084557580338249</v>
      </c>
      <c r="L92" s="252">
        <v>62.244762780719597</v>
      </c>
      <c r="M92" s="58">
        <v>66.444722841393627</v>
      </c>
      <c r="N92" s="471">
        <v>64.450909432570185</v>
      </c>
      <c r="O92" s="438">
        <v>22.8</v>
      </c>
      <c r="P92" s="446">
        <v>20.5</v>
      </c>
      <c r="Q92" s="446">
        <v>20.9</v>
      </c>
      <c r="R92" s="446">
        <v>22.7</v>
      </c>
      <c r="S92" s="446">
        <v>19.399999999999999</v>
      </c>
      <c r="T92" s="446">
        <v>18.3</v>
      </c>
      <c r="U92" s="446">
        <v>15.3</v>
      </c>
      <c r="V92" s="446">
        <v>29.2</v>
      </c>
      <c r="W92" s="447">
        <v>21.5</v>
      </c>
      <c r="X92" s="58">
        <v>19.8</v>
      </c>
      <c r="Y92" s="439">
        <v>21.771404936166871</v>
      </c>
      <c r="Z92" s="58">
        <v>14.757758865808333</v>
      </c>
      <c r="AA92" s="471" t="s">
        <v>160</v>
      </c>
      <c r="AB92" s="438">
        <v>5.4</v>
      </c>
      <c r="AC92" s="446">
        <v>4.4000000000000004</v>
      </c>
      <c r="AD92" s="446">
        <v>5.9</v>
      </c>
      <c r="AE92" s="446">
        <v>6.3</v>
      </c>
      <c r="AF92" s="446">
        <v>5.4</v>
      </c>
      <c r="AG92" s="446">
        <v>5.2</v>
      </c>
      <c r="AH92" s="446">
        <v>4.4000000000000004</v>
      </c>
      <c r="AI92" s="446">
        <v>8.6</v>
      </c>
      <c r="AJ92" s="447">
        <v>5.5</v>
      </c>
      <c r="AK92" s="440">
        <v>6.4101629699956666</v>
      </c>
      <c r="AL92" s="440">
        <v>6.4786003275083965</v>
      </c>
      <c r="AM92" s="440">
        <v>3.0286846695306036</v>
      </c>
      <c r="AN92" s="252">
        <v>4.2868662292162396</v>
      </c>
      <c r="AO92" s="252">
        <v>4.3</v>
      </c>
      <c r="AP92" s="441">
        <v>4.5999999999999996</v>
      </c>
      <c r="AQ92" s="58">
        <v>4.8</v>
      </c>
      <c r="AR92" s="442">
        <v>5.8</v>
      </c>
      <c r="AS92" s="442">
        <v>4.5</v>
      </c>
      <c r="AT92" s="446">
        <v>5.5</v>
      </c>
      <c r="AU92" s="445">
        <v>6.3</v>
      </c>
      <c r="AV92" s="252">
        <v>3.3</v>
      </c>
      <c r="AW92" s="252">
        <v>2</v>
      </c>
      <c r="AX92" s="58">
        <v>1.7790524850213052</v>
      </c>
      <c r="AY92" s="252">
        <v>2.4311987184430053</v>
      </c>
      <c r="AZ92" s="58">
        <v>2.4424879156492794</v>
      </c>
      <c r="BA92" s="252">
        <v>1.8265008974665071</v>
      </c>
      <c r="BB92" s="492"/>
    </row>
    <row r="93" spans="1:54" ht="12" customHeight="1" x14ac:dyDescent="0.25">
      <c r="A93" s="213" t="s">
        <v>72</v>
      </c>
      <c r="B93" s="438">
        <v>56.8</v>
      </c>
      <c r="C93" s="445">
        <v>55.5</v>
      </c>
      <c r="D93" s="252">
        <v>58.2</v>
      </c>
      <c r="E93" s="58">
        <v>58.5</v>
      </c>
      <c r="F93" s="252">
        <v>59.6</v>
      </c>
      <c r="G93" s="252">
        <v>58.7</v>
      </c>
      <c r="H93" s="252">
        <v>57.3</v>
      </c>
      <c r="I93" s="58">
        <v>58.5</v>
      </c>
      <c r="J93" s="252">
        <v>52.5</v>
      </c>
      <c r="K93" s="58">
        <v>44.972353497343661</v>
      </c>
      <c r="L93" s="252">
        <v>47.09078458095027</v>
      </c>
      <c r="M93" s="58">
        <v>52.315266234904243</v>
      </c>
      <c r="N93" s="471">
        <v>55.434448956272895</v>
      </c>
      <c r="O93" s="438">
        <v>22.8</v>
      </c>
      <c r="P93" s="446">
        <v>24.3</v>
      </c>
      <c r="Q93" s="446">
        <v>19.5</v>
      </c>
      <c r="R93" s="446">
        <v>16.600000000000001</v>
      </c>
      <c r="S93" s="446">
        <v>17.7</v>
      </c>
      <c r="T93" s="446">
        <v>19.899999999999999</v>
      </c>
      <c r="U93" s="446">
        <v>18.3</v>
      </c>
      <c r="V93" s="446">
        <v>19.3</v>
      </c>
      <c r="W93" s="447">
        <v>25.1</v>
      </c>
      <c r="X93" s="58">
        <v>22.7</v>
      </c>
      <c r="Y93" s="439">
        <v>25.021960247427945</v>
      </c>
      <c r="Z93" s="58">
        <v>18.410558078585098</v>
      </c>
      <c r="AA93" s="471">
        <v>20.231137565811327</v>
      </c>
      <c r="AB93" s="438">
        <v>5.0999999999999996</v>
      </c>
      <c r="AC93" s="446">
        <v>4.9000000000000004</v>
      </c>
      <c r="AD93" s="446">
        <v>5</v>
      </c>
      <c r="AE93" s="446">
        <v>4</v>
      </c>
      <c r="AF93" s="446">
        <v>4.3</v>
      </c>
      <c r="AG93" s="446">
        <v>4.9000000000000004</v>
      </c>
      <c r="AH93" s="446">
        <v>4.7</v>
      </c>
      <c r="AI93" s="446">
        <v>4.5999999999999996</v>
      </c>
      <c r="AJ93" s="447">
        <v>5.7</v>
      </c>
      <c r="AK93" s="440">
        <v>4.8513852530245583</v>
      </c>
      <c r="AL93" s="440">
        <v>5.6029521910853122</v>
      </c>
      <c r="AM93" s="440">
        <v>4.0391548075248558</v>
      </c>
      <c r="AN93" s="252">
        <v>4.7450689540395015</v>
      </c>
      <c r="AO93" s="252">
        <v>2.1</v>
      </c>
      <c r="AP93" s="441">
        <v>4.8</v>
      </c>
      <c r="AQ93" s="58">
        <v>3.5</v>
      </c>
      <c r="AR93" s="442">
        <v>3</v>
      </c>
      <c r="AS93" s="442">
        <v>3.6</v>
      </c>
      <c r="AT93" s="446">
        <v>3.8</v>
      </c>
      <c r="AU93" s="445">
        <v>3.5</v>
      </c>
      <c r="AV93" s="252">
        <v>4.5</v>
      </c>
      <c r="AW93" s="252">
        <v>4.5</v>
      </c>
      <c r="AX93" s="58">
        <v>12.342763952555263</v>
      </c>
      <c r="AY93" s="252">
        <v>4.839505266352238</v>
      </c>
      <c r="AZ93" s="58">
        <v>7.2569351708512118</v>
      </c>
      <c r="BA93" s="252">
        <v>4.9000000000000004</v>
      </c>
      <c r="BB93" s="492"/>
    </row>
    <row r="94" spans="1:54" ht="12" customHeight="1" x14ac:dyDescent="0.25">
      <c r="A94" s="213" t="s">
        <v>91</v>
      </c>
      <c r="B94" s="438">
        <v>49.3</v>
      </c>
      <c r="C94" s="445">
        <v>53.7</v>
      </c>
      <c r="D94" s="252">
        <v>69.400000000000006</v>
      </c>
      <c r="E94" s="58">
        <v>72</v>
      </c>
      <c r="F94" s="252">
        <v>73.5</v>
      </c>
      <c r="G94" s="252">
        <v>66</v>
      </c>
      <c r="H94" s="252">
        <v>59.3</v>
      </c>
      <c r="I94" s="58">
        <v>63.7</v>
      </c>
      <c r="J94" s="252">
        <v>63.5</v>
      </c>
      <c r="K94" s="58">
        <v>66.850892789307522</v>
      </c>
      <c r="L94" s="252">
        <v>67.81305033138004</v>
      </c>
      <c r="M94" s="58">
        <v>68.498199381826694</v>
      </c>
      <c r="N94" s="471">
        <v>43.090001676021892</v>
      </c>
      <c r="O94" s="438">
        <v>29.6</v>
      </c>
      <c r="P94" s="446">
        <v>17</v>
      </c>
      <c r="Q94" s="446">
        <v>16.2</v>
      </c>
      <c r="R94" s="446">
        <v>14.3</v>
      </c>
      <c r="S94" s="446">
        <v>13.8</v>
      </c>
      <c r="T94" s="446">
        <v>16.899999999999999</v>
      </c>
      <c r="U94" s="446">
        <v>14.7</v>
      </c>
      <c r="V94" s="446">
        <v>17.8</v>
      </c>
      <c r="W94" s="447">
        <v>14.2</v>
      </c>
      <c r="X94" s="58">
        <v>13.6</v>
      </c>
      <c r="Y94" s="439">
        <v>12.643614106857978</v>
      </c>
      <c r="Z94" s="58">
        <v>13.438524017571178</v>
      </c>
      <c r="AA94" s="471">
        <v>20.045362880190922</v>
      </c>
      <c r="AB94" s="438">
        <v>6.9</v>
      </c>
      <c r="AC94" s="446">
        <v>3.5</v>
      </c>
      <c r="AD94" s="446">
        <v>4.4000000000000004</v>
      </c>
      <c r="AE94" s="446">
        <v>3.8</v>
      </c>
      <c r="AF94" s="446">
        <v>3.7</v>
      </c>
      <c r="AG94" s="446">
        <v>4.3</v>
      </c>
      <c r="AH94" s="446">
        <v>3.8</v>
      </c>
      <c r="AI94" s="446">
        <v>4.5999999999999996</v>
      </c>
      <c r="AJ94" s="447">
        <v>4</v>
      </c>
      <c r="AK94" s="440">
        <v>3.3349094764443281</v>
      </c>
      <c r="AL94" s="440">
        <v>3.3400073929370313</v>
      </c>
      <c r="AM94" s="440">
        <v>3.8484748184507054</v>
      </c>
      <c r="AN94" s="252">
        <v>6.7586608687687928</v>
      </c>
      <c r="AO94" s="252">
        <v>2.2000000000000002</v>
      </c>
      <c r="AP94" s="441">
        <v>1.9</v>
      </c>
      <c r="AQ94" s="58">
        <v>1.9</v>
      </c>
      <c r="AR94" s="442">
        <v>1.9</v>
      </c>
      <c r="AS94" s="442">
        <v>2</v>
      </c>
      <c r="AT94" s="446">
        <v>2.4</v>
      </c>
      <c r="AU94" s="445">
        <v>3</v>
      </c>
      <c r="AV94" s="252">
        <v>4.5</v>
      </c>
      <c r="AW94" s="252">
        <v>3.5</v>
      </c>
      <c r="AX94" s="58">
        <v>3.3070638572758826</v>
      </c>
      <c r="AY94" s="252">
        <v>3.7449682659411532</v>
      </c>
      <c r="AZ94" s="58">
        <v>4.2778355383982758</v>
      </c>
      <c r="BA94" s="252">
        <v>1.5</v>
      </c>
      <c r="BB94" s="492"/>
    </row>
    <row r="95" spans="1:54" ht="12" customHeight="1" x14ac:dyDescent="0.25">
      <c r="A95" s="213" t="s">
        <v>73</v>
      </c>
      <c r="B95" s="438">
        <v>50.3</v>
      </c>
      <c r="C95" s="445">
        <v>46.1</v>
      </c>
      <c r="D95" s="252">
        <v>57.9</v>
      </c>
      <c r="E95" s="58">
        <v>44.9</v>
      </c>
      <c r="F95" s="252">
        <v>53.4</v>
      </c>
      <c r="G95" s="252">
        <v>45.3</v>
      </c>
      <c r="H95" s="252">
        <v>47.5</v>
      </c>
      <c r="I95" s="58">
        <v>60.2</v>
      </c>
      <c r="J95" s="252">
        <v>55.8</v>
      </c>
      <c r="K95" s="58">
        <v>65.985330752331521</v>
      </c>
      <c r="L95" s="252">
        <v>45.580353134545611</v>
      </c>
      <c r="M95" s="58">
        <v>53.174557804711441</v>
      </c>
      <c r="N95" s="471">
        <v>59.21457004576618</v>
      </c>
      <c r="O95" s="438">
        <v>32.6</v>
      </c>
      <c r="P95" s="446">
        <v>23.2</v>
      </c>
      <c r="Q95" s="446">
        <v>21.8</v>
      </c>
      <c r="R95" s="446">
        <v>28.6</v>
      </c>
      <c r="S95" s="446">
        <v>26.5</v>
      </c>
      <c r="T95" s="446">
        <v>30.5</v>
      </c>
      <c r="U95" s="446">
        <v>26.2</v>
      </c>
      <c r="V95" s="446">
        <v>19.600000000000001</v>
      </c>
      <c r="W95" s="447">
        <v>16.7</v>
      </c>
      <c r="X95" s="58">
        <v>13.2</v>
      </c>
      <c r="Y95" s="439">
        <v>26.109744606591274</v>
      </c>
      <c r="Z95" s="58">
        <v>17.944354499055731</v>
      </c>
      <c r="AA95" s="471">
        <v>21.282994303861898</v>
      </c>
      <c r="AB95" s="438">
        <v>8.3000000000000007</v>
      </c>
      <c r="AC95" s="446">
        <v>4.5</v>
      </c>
      <c r="AD95" s="446">
        <v>5.6</v>
      </c>
      <c r="AE95" s="446">
        <v>7.4</v>
      </c>
      <c r="AF95" s="446">
        <v>7.2</v>
      </c>
      <c r="AG95" s="446">
        <v>8.4</v>
      </c>
      <c r="AH95" s="446">
        <v>7.7</v>
      </c>
      <c r="AI95" s="446">
        <v>5.2</v>
      </c>
      <c r="AJ95" s="447">
        <v>4.9000000000000004</v>
      </c>
      <c r="AK95" s="440">
        <v>3.80750982843885</v>
      </c>
      <c r="AL95" s="440">
        <v>7.0131161317285109</v>
      </c>
      <c r="AM95" s="440">
        <v>5.5703274188569027</v>
      </c>
      <c r="AN95" s="252">
        <v>4.3362058700456707</v>
      </c>
      <c r="AO95" s="252">
        <v>1</v>
      </c>
      <c r="AP95" s="441">
        <v>5.0999999999999996</v>
      </c>
      <c r="AQ95" s="58">
        <v>6.7</v>
      </c>
      <c r="AR95" s="442">
        <v>9</v>
      </c>
      <c r="AS95" s="442">
        <v>3.2</v>
      </c>
      <c r="AT95" s="446">
        <v>11.3</v>
      </c>
      <c r="AU95" s="445">
        <v>9.3000000000000007</v>
      </c>
      <c r="AV95" s="252">
        <v>7.4</v>
      </c>
      <c r="AW95" s="252">
        <v>9.8000000000000007</v>
      </c>
      <c r="AX95" s="58">
        <v>4.635859380220352</v>
      </c>
      <c r="AY95" s="252">
        <v>3.3456398995491501</v>
      </c>
      <c r="AZ95" s="58">
        <v>15.247845244695801</v>
      </c>
      <c r="BA95" s="252">
        <v>3.1</v>
      </c>
      <c r="BB95" s="492"/>
    </row>
    <row r="96" spans="1:54" ht="12" customHeight="1" x14ac:dyDescent="0.25">
      <c r="A96" s="213" t="s">
        <v>74</v>
      </c>
      <c r="B96" s="438">
        <v>60</v>
      </c>
      <c r="C96" s="445">
        <v>53.1</v>
      </c>
      <c r="D96" s="252">
        <v>60.4</v>
      </c>
      <c r="E96" s="58">
        <v>50.4</v>
      </c>
      <c r="F96" s="252">
        <v>49.8</v>
      </c>
      <c r="G96" s="252">
        <v>44.6</v>
      </c>
      <c r="H96" s="252">
        <v>57.5</v>
      </c>
      <c r="I96" s="58">
        <v>51.5</v>
      </c>
      <c r="J96" s="252">
        <v>61.7</v>
      </c>
      <c r="K96" s="58">
        <v>65.864685636015011</v>
      </c>
      <c r="L96" s="252">
        <v>64.342597267880592</v>
      </c>
      <c r="M96" s="58">
        <v>55.466021699995991</v>
      </c>
      <c r="N96" s="471">
        <v>57.598227507178038</v>
      </c>
      <c r="O96" s="438">
        <v>22.1</v>
      </c>
      <c r="P96" s="446">
        <v>22.9</v>
      </c>
      <c r="Q96" s="446">
        <v>17.7</v>
      </c>
      <c r="R96" s="446">
        <v>16.5</v>
      </c>
      <c r="S96" s="446">
        <v>25</v>
      </c>
      <c r="T96" s="446">
        <v>26.8</v>
      </c>
      <c r="U96" s="446">
        <v>20.6</v>
      </c>
      <c r="V96" s="446">
        <v>24.1</v>
      </c>
      <c r="W96" s="447">
        <v>19.8</v>
      </c>
      <c r="X96" s="58">
        <v>16</v>
      </c>
      <c r="Y96" s="439">
        <v>13.151941057318867</v>
      </c>
      <c r="Z96" s="58">
        <v>21.342213424647124</v>
      </c>
      <c r="AA96" s="471">
        <v>21.514486706971567</v>
      </c>
      <c r="AB96" s="438">
        <v>5.2</v>
      </c>
      <c r="AC96" s="446">
        <v>5.0999999999999996</v>
      </c>
      <c r="AD96" s="446">
        <v>4.7</v>
      </c>
      <c r="AE96" s="446">
        <v>4.2</v>
      </c>
      <c r="AF96" s="446">
        <v>6.4</v>
      </c>
      <c r="AG96" s="446">
        <v>6.9</v>
      </c>
      <c r="AH96" s="446">
        <v>5</v>
      </c>
      <c r="AI96" s="446">
        <v>4.9000000000000004</v>
      </c>
      <c r="AJ96" s="447">
        <v>4.9000000000000004</v>
      </c>
      <c r="AK96" s="440">
        <v>3.4536296096916428</v>
      </c>
      <c r="AL96" s="440">
        <v>3.3914431439703732</v>
      </c>
      <c r="AM96" s="440">
        <v>6.0198759757265643</v>
      </c>
      <c r="AN96" s="252">
        <v>6.1085312644838554</v>
      </c>
      <c r="AO96" s="252">
        <v>2.4</v>
      </c>
      <c r="AP96" s="441">
        <v>3.3</v>
      </c>
      <c r="AQ96" s="58">
        <v>2.1</v>
      </c>
      <c r="AR96" s="442">
        <v>2.8</v>
      </c>
      <c r="AS96" s="442">
        <v>5.2</v>
      </c>
      <c r="AT96" s="446">
        <v>5.4</v>
      </c>
      <c r="AU96" s="445">
        <v>3.9</v>
      </c>
      <c r="AV96" s="252">
        <v>7.9</v>
      </c>
      <c r="AW96" s="252">
        <v>3.1</v>
      </c>
      <c r="AX96" s="58">
        <v>6.2806691915787081</v>
      </c>
      <c r="AY96" s="252">
        <v>8.1868612525642757</v>
      </c>
      <c r="AZ96" s="58">
        <v>7.018102340447256</v>
      </c>
      <c r="BA96" s="252">
        <v>3.6</v>
      </c>
      <c r="BB96" s="492"/>
    </row>
    <row r="97" spans="1:54" ht="12" customHeight="1" x14ac:dyDescent="0.25">
      <c r="A97" s="213" t="s">
        <v>75</v>
      </c>
      <c r="B97" s="438">
        <v>59.6</v>
      </c>
      <c r="C97" s="445">
        <v>57.8</v>
      </c>
      <c r="D97" s="252">
        <v>55.1</v>
      </c>
      <c r="E97" s="58">
        <v>54.7</v>
      </c>
      <c r="F97" s="252">
        <v>49.6</v>
      </c>
      <c r="G97" s="252">
        <v>50.3</v>
      </c>
      <c r="H97" s="252">
        <v>50.7</v>
      </c>
      <c r="I97" s="58">
        <v>49.5</v>
      </c>
      <c r="J97" s="252">
        <v>49.5</v>
      </c>
      <c r="K97" s="58">
        <v>51.05020261830412</v>
      </c>
      <c r="L97" s="252">
        <v>52.305347459852094</v>
      </c>
      <c r="M97" s="58">
        <v>52.748469719137546</v>
      </c>
      <c r="N97" s="471">
        <v>52.373604982857223</v>
      </c>
      <c r="O97" s="438">
        <v>23.8</v>
      </c>
      <c r="P97" s="446">
        <v>20.6</v>
      </c>
      <c r="Q97" s="446">
        <v>22.3</v>
      </c>
      <c r="R97" s="446">
        <v>23.3</v>
      </c>
      <c r="S97" s="446">
        <v>25.9</v>
      </c>
      <c r="T97" s="446">
        <v>27.1</v>
      </c>
      <c r="U97" s="446">
        <v>27.3</v>
      </c>
      <c r="V97" s="446">
        <v>27</v>
      </c>
      <c r="W97" s="447">
        <v>26.6</v>
      </c>
      <c r="X97" s="58">
        <v>24.3</v>
      </c>
      <c r="Y97" s="439">
        <v>23.327088926067049</v>
      </c>
      <c r="Z97" s="58">
        <v>23.633594258462821</v>
      </c>
      <c r="AA97" s="471">
        <v>24.605923251291536</v>
      </c>
      <c r="AB97" s="438">
        <v>5.5</v>
      </c>
      <c r="AC97" s="446">
        <v>4.5</v>
      </c>
      <c r="AD97" s="446">
        <v>6.1</v>
      </c>
      <c r="AE97" s="446">
        <v>6.3</v>
      </c>
      <c r="AF97" s="446">
        <v>6.9</v>
      </c>
      <c r="AG97" s="446">
        <v>7.4</v>
      </c>
      <c r="AH97" s="446">
        <v>7.3</v>
      </c>
      <c r="AI97" s="446">
        <v>7.4</v>
      </c>
      <c r="AJ97" s="447">
        <v>7.1</v>
      </c>
      <c r="AK97" s="440">
        <v>6.5636638459589562</v>
      </c>
      <c r="AL97" s="440">
        <v>6.5211035366453283</v>
      </c>
      <c r="AM97" s="440">
        <v>6.3146395707410043</v>
      </c>
      <c r="AN97" s="252">
        <v>6.4412054610995346</v>
      </c>
      <c r="AO97" s="252">
        <v>2</v>
      </c>
      <c r="AP97" s="441">
        <v>2</v>
      </c>
      <c r="AQ97" s="58">
        <v>2.2999999999999998</v>
      </c>
      <c r="AR97" s="442">
        <v>2.9</v>
      </c>
      <c r="AS97" s="442">
        <v>3.2</v>
      </c>
      <c r="AT97" s="446">
        <v>3.8</v>
      </c>
      <c r="AU97" s="445">
        <v>4.5999999999999996</v>
      </c>
      <c r="AV97" s="252">
        <v>5.5</v>
      </c>
      <c r="AW97" s="252">
        <v>6.6</v>
      </c>
      <c r="AX97" s="58">
        <v>6.2696828180483912</v>
      </c>
      <c r="AY97" s="252">
        <v>6.5390822488306233</v>
      </c>
      <c r="AZ97" s="58">
        <v>5.6534758106218117</v>
      </c>
      <c r="BA97" s="252">
        <v>4.0999999999999996</v>
      </c>
      <c r="BB97" s="492"/>
    </row>
    <row r="98" spans="1:54" ht="12" customHeight="1" x14ac:dyDescent="0.25">
      <c r="A98" s="213" t="s">
        <v>76</v>
      </c>
      <c r="B98" s="438">
        <v>56.7</v>
      </c>
      <c r="C98" s="445">
        <v>49.5</v>
      </c>
      <c r="D98" s="252">
        <v>54.3</v>
      </c>
      <c r="E98" s="58">
        <v>55.2</v>
      </c>
      <c r="F98" s="252">
        <v>55.1</v>
      </c>
      <c r="G98" s="252">
        <v>49.5</v>
      </c>
      <c r="H98" s="252">
        <v>49.9</v>
      </c>
      <c r="I98" s="58">
        <v>54.5</v>
      </c>
      <c r="J98" s="252">
        <v>58.5</v>
      </c>
      <c r="K98" s="58">
        <v>56.161464543068995</v>
      </c>
      <c r="L98" s="252">
        <v>54.959953123143592</v>
      </c>
      <c r="M98" s="58">
        <v>59.079818505606198</v>
      </c>
      <c r="N98" s="471">
        <v>50.485545291343669</v>
      </c>
      <c r="O98" s="438">
        <v>24.9</v>
      </c>
      <c r="P98" s="446">
        <v>26.6</v>
      </c>
      <c r="Q98" s="446">
        <v>23.7</v>
      </c>
      <c r="R98" s="446">
        <v>25.6</v>
      </c>
      <c r="S98" s="446">
        <v>23.7</v>
      </c>
      <c r="T98" s="446">
        <v>26.5</v>
      </c>
      <c r="U98" s="446">
        <v>27.1</v>
      </c>
      <c r="V98" s="446">
        <v>24.5</v>
      </c>
      <c r="W98" s="447">
        <v>23.8</v>
      </c>
      <c r="X98" s="58">
        <v>22.9</v>
      </c>
      <c r="Y98" s="439">
        <v>27.189674445249175</v>
      </c>
      <c r="Z98" s="58">
        <v>26.208738785504721</v>
      </c>
      <c r="AA98" s="471">
        <v>31.960793895613026</v>
      </c>
      <c r="AB98" s="438">
        <v>5.6</v>
      </c>
      <c r="AC98" s="446">
        <v>5.5</v>
      </c>
      <c r="AD98" s="446">
        <v>6.2</v>
      </c>
      <c r="AE98" s="446">
        <v>6.3</v>
      </c>
      <c r="AF98" s="446">
        <v>6.1</v>
      </c>
      <c r="AG98" s="446">
        <v>7.2</v>
      </c>
      <c r="AH98" s="446">
        <v>7.4</v>
      </c>
      <c r="AI98" s="446">
        <v>6.3</v>
      </c>
      <c r="AJ98" s="447">
        <v>7.1</v>
      </c>
      <c r="AK98" s="440">
        <v>6.1344842876606291</v>
      </c>
      <c r="AL98" s="440">
        <v>7.3864837012797118</v>
      </c>
      <c r="AM98" s="440">
        <v>6.9496362278031949</v>
      </c>
      <c r="AN98" s="252">
        <v>7.8933876390996156</v>
      </c>
      <c r="AO98" s="252">
        <v>2.1</v>
      </c>
      <c r="AP98" s="441">
        <v>2.9</v>
      </c>
      <c r="AQ98" s="58">
        <v>2.7</v>
      </c>
      <c r="AR98" s="442">
        <v>3.5</v>
      </c>
      <c r="AS98" s="442">
        <v>3.4</v>
      </c>
      <c r="AT98" s="446">
        <v>3.6</v>
      </c>
      <c r="AU98" s="445">
        <v>3.6</v>
      </c>
      <c r="AV98" s="252">
        <v>3.9</v>
      </c>
      <c r="AW98" s="252">
        <v>2.2999999999999998</v>
      </c>
      <c r="AX98" s="58">
        <v>3.3846730409794112</v>
      </c>
      <c r="AY98" s="252">
        <v>2.4823928749927373</v>
      </c>
      <c r="AZ98" s="58">
        <v>1.3846504510241835</v>
      </c>
      <c r="BA98" s="252">
        <v>2.2999999999999998</v>
      </c>
      <c r="BB98" s="492"/>
    </row>
    <row r="99" spans="1:54" ht="12" customHeight="1" x14ac:dyDescent="0.25">
      <c r="A99" s="213" t="s">
        <v>77</v>
      </c>
      <c r="B99" s="438">
        <v>61.5</v>
      </c>
      <c r="C99" s="445">
        <v>59</v>
      </c>
      <c r="D99" s="252">
        <v>60.7</v>
      </c>
      <c r="E99" s="58">
        <v>57.2</v>
      </c>
      <c r="F99" s="252">
        <v>55</v>
      </c>
      <c r="G99" s="252">
        <v>59.7</v>
      </c>
      <c r="H99" s="252">
        <v>57.2</v>
      </c>
      <c r="I99" s="58">
        <v>47</v>
      </c>
      <c r="J99" s="252">
        <v>51.8</v>
      </c>
      <c r="K99" s="58">
        <v>48.630880618325193</v>
      </c>
      <c r="L99" s="252">
        <v>57.69180841160896</v>
      </c>
      <c r="M99" s="58">
        <v>52.77442987852573</v>
      </c>
      <c r="N99" s="471">
        <v>41.652365032090387</v>
      </c>
      <c r="O99" s="438">
        <v>21.8</v>
      </c>
      <c r="P99" s="446">
        <v>27.4</v>
      </c>
      <c r="Q99" s="446">
        <v>23</v>
      </c>
      <c r="R99" s="446">
        <v>21.8</v>
      </c>
      <c r="S99" s="446">
        <v>26.4</v>
      </c>
      <c r="T99" s="446">
        <v>24.4</v>
      </c>
      <c r="U99" s="446">
        <v>24.7</v>
      </c>
      <c r="V99" s="446">
        <v>22.2</v>
      </c>
      <c r="W99" s="447">
        <v>31</v>
      </c>
      <c r="X99" s="58">
        <v>33.799999999999997</v>
      </c>
      <c r="Y99" s="439">
        <v>26.344034326246828</v>
      </c>
      <c r="Z99" s="58">
        <v>27.79767948230386</v>
      </c>
      <c r="AA99" s="471">
        <v>16.147284325135793</v>
      </c>
      <c r="AB99" s="438">
        <v>9.5</v>
      </c>
      <c r="AC99" s="446">
        <v>5.5</v>
      </c>
      <c r="AD99" s="446">
        <v>4.8</v>
      </c>
      <c r="AE99" s="446">
        <v>4.8</v>
      </c>
      <c r="AF99" s="446">
        <v>6.1</v>
      </c>
      <c r="AG99" s="446">
        <v>6.1</v>
      </c>
      <c r="AH99" s="446">
        <v>6</v>
      </c>
      <c r="AI99" s="446">
        <v>5.2</v>
      </c>
      <c r="AJ99" s="447">
        <v>7.2</v>
      </c>
      <c r="AK99" s="440">
        <v>8.445644346976291</v>
      </c>
      <c r="AL99" s="440">
        <v>6.6439890508898047</v>
      </c>
      <c r="AM99" s="440">
        <v>7.6873625526739309</v>
      </c>
      <c r="AN99" s="252">
        <v>4.9040247847906642</v>
      </c>
      <c r="AO99" s="252">
        <v>1</v>
      </c>
      <c r="AP99" s="441">
        <v>1.8</v>
      </c>
      <c r="AQ99" s="58">
        <v>2.6</v>
      </c>
      <c r="AR99" s="442">
        <v>3.8</v>
      </c>
      <c r="AS99" s="442">
        <v>8</v>
      </c>
      <c r="AT99" s="446">
        <v>5.0999999999999996</v>
      </c>
      <c r="AU99" s="445">
        <v>6.9</v>
      </c>
      <c r="AV99" s="252">
        <v>3.7</v>
      </c>
      <c r="AW99" s="252">
        <v>2.8</v>
      </c>
      <c r="AX99" s="58">
        <v>2.467659534469214</v>
      </c>
      <c r="AY99" s="252">
        <v>2.3797974145740524</v>
      </c>
      <c r="AZ99" s="58">
        <v>1.8540460506893497</v>
      </c>
      <c r="BA99" s="252">
        <v>1.5</v>
      </c>
      <c r="BB99" s="492"/>
    </row>
    <row r="100" spans="1:54" ht="12" customHeight="1" x14ac:dyDescent="0.25">
      <c r="A100" s="213" t="s">
        <v>78</v>
      </c>
      <c r="B100" s="438">
        <v>48.7</v>
      </c>
      <c r="C100" s="445">
        <v>53.6</v>
      </c>
      <c r="D100" s="252">
        <v>53.2</v>
      </c>
      <c r="E100" s="58">
        <v>51.5</v>
      </c>
      <c r="F100" s="252">
        <v>47.8</v>
      </c>
      <c r="G100" s="252">
        <v>52.9</v>
      </c>
      <c r="H100" s="252">
        <v>60</v>
      </c>
      <c r="I100" s="58">
        <v>52</v>
      </c>
      <c r="J100" s="252">
        <v>57.5</v>
      </c>
      <c r="K100" s="58">
        <v>40.209667584454799</v>
      </c>
      <c r="L100" s="252">
        <v>44.276535296494735</v>
      </c>
      <c r="M100" s="58">
        <v>47.621596461309764</v>
      </c>
      <c r="N100" s="471" t="s">
        <v>39</v>
      </c>
      <c r="O100" s="438">
        <v>31.6</v>
      </c>
      <c r="P100" s="446">
        <v>22.7</v>
      </c>
      <c r="Q100" s="446">
        <v>23.7</v>
      </c>
      <c r="R100" s="446">
        <v>24.5</v>
      </c>
      <c r="S100" s="446">
        <v>21.7</v>
      </c>
      <c r="T100" s="446">
        <v>20.8</v>
      </c>
      <c r="U100" s="446">
        <v>17.8</v>
      </c>
      <c r="V100" s="446">
        <v>20.399999999999999</v>
      </c>
      <c r="W100" s="447">
        <v>21.5</v>
      </c>
      <c r="X100" s="58">
        <v>28.5</v>
      </c>
      <c r="Y100" s="439">
        <v>27.239862693849759</v>
      </c>
      <c r="Z100" s="58">
        <v>29.570632273515901</v>
      </c>
      <c r="AA100" s="471">
        <v>32.591757020222687</v>
      </c>
      <c r="AB100" s="438">
        <v>6.7</v>
      </c>
      <c r="AC100" s="446">
        <v>4.4000000000000004</v>
      </c>
      <c r="AD100" s="446">
        <v>5.7</v>
      </c>
      <c r="AE100" s="446">
        <v>5.9</v>
      </c>
      <c r="AF100" s="446">
        <v>5.5</v>
      </c>
      <c r="AG100" s="446">
        <v>4.9000000000000004</v>
      </c>
      <c r="AH100" s="446">
        <v>4.5999999999999996</v>
      </c>
      <c r="AI100" s="446">
        <v>4.2</v>
      </c>
      <c r="AJ100" s="447">
        <v>4.8</v>
      </c>
      <c r="AK100" s="440">
        <v>6.4088498180590854</v>
      </c>
      <c r="AL100" s="440">
        <v>6.5991654393037695</v>
      </c>
      <c r="AM100" s="440">
        <v>7.1952826666664862</v>
      </c>
      <c r="AN100" s="252">
        <v>8.159301099047223</v>
      </c>
      <c r="AO100" s="252">
        <v>1.9</v>
      </c>
      <c r="AP100" s="441">
        <v>2.4</v>
      </c>
      <c r="AQ100" s="58">
        <v>3.2</v>
      </c>
      <c r="AR100" s="442">
        <v>3.1</v>
      </c>
      <c r="AS100" s="442">
        <v>2.7</v>
      </c>
      <c r="AT100" s="446">
        <v>2.2999999999999998</v>
      </c>
      <c r="AU100" s="445">
        <v>3</v>
      </c>
      <c r="AV100" s="252">
        <v>2.2000000000000002</v>
      </c>
      <c r="AW100" s="252">
        <v>2.6</v>
      </c>
      <c r="AX100" s="58">
        <v>3.1870011656801074</v>
      </c>
      <c r="AY100" s="252">
        <v>3.56763335812294</v>
      </c>
      <c r="AZ100" s="58">
        <v>4.3059921282589109</v>
      </c>
      <c r="BA100" s="252">
        <v>6</v>
      </c>
      <c r="BB100" s="492"/>
    </row>
    <row r="101" spans="1:54" s="32" customFormat="1" ht="12" customHeight="1" x14ac:dyDescent="0.25">
      <c r="A101" s="431" t="s">
        <v>79</v>
      </c>
      <c r="B101" s="461">
        <v>69.900000000000006</v>
      </c>
      <c r="C101" s="462">
        <v>76.2</v>
      </c>
      <c r="D101" s="254">
        <v>68.5</v>
      </c>
      <c r="E101" s="224">
        <v>60.6</v>
      </c>
      <c r="F101" s="254">
        <v>58.7</v>
      </c>
      <c r="G101" s="254">
        <v>61.5</v>
      </c>
      <c r="H101" s="254">
        <v>45.6</v>
      </c>
      <c r="I101" s="224">
        <v>63.3</v>
      </c>
      <c r="J101" s="254">
        <v>81.7</v>
      </c>
      <c r="K101" s="224">
        <v>61.610402735931359</v>
      </c>
      <c r="L101" s="254">
        <v>51.50361074214873</v>
      </c>
      <c r="M101" s="58">
        <v>64.113680350504836</v>
      </c>
      <c r="N101" s="471">
        <v>59.872765623241499</v>
      </c>
      <c r="O101" s="461">
        <v>18.600000000000001</v>
      </c>
      <c r="P101" s="463">
        <v>10.4</v>
      </c>
      <c r="Q101" s="463">
        <v>13.8</v>
      </c>
      <c r="R101" s="463">
        <v>15.5</v>
      </c>
      <c r="S101" s="463">
        <v>14.2</v>
      </c>
      <c r="T101" s="463">
        <v>17.600000000000001</v>
      </c>
      <c r="U101" s="463">
        <v>32</v>
      </c>
      <c r="V101" s="463">
        <v>6.8</v>
      </c>
      <c r="W101" s="464">
        <v>7.2</v>
      </c>
      <c r="X101" s="224">
        <v>20</v>
      </c>
      <c r="Y101" s="465">
        <v>20.100000000000001</v>
      </c>
      <c r="Z101" s="58">
        <v>14.734743433130095</v>
      </c>
      <c r="AA101" s="471">
        <v>17.28811918450921</v>
      </c>
      <c r="AB101" s="461">
        <v>4.9000000000000004</v>
      </c>
      <c r="AC101" s="463">
        <v>3.4</v>
      </c>
      <c r="AD101" s="463">
        <v>5.3</v>
      </c>
      <c r="AE101" s="463">
        <v>5.4</v>
      </c>
      <c r="AF101" s="463">
        <v>4.8</v>
      </c>
      <c r="AG101" s="463">
        <v>3.8</v>
      </c>
      <c r="AH101" s="463">
        <v>7.3</v>
      </c>
      <c r="AI101" s="463">
        <v>1.9</v>
      </c>
      <c r="AJ101" s="464">
        <v>1.8</v>
      </c>
      <c r="AK101" s="466">
        <v>5.3759600257953624</v>
      </c>
      <c r="AL101" s="466">
        <v>4.8734904349684731</v>
      </c>
      <c r="AM101" s="440">
        <v>3.8511414371042134</v>
      </c>
      <c r="AN101" s="252" t="s">
        <v>160</v>
      </c>
      <c r="AO101" s="254">
        <v>3.3</v>
      </c>
      <c r="AP101" s="467">
        <v>1.9</v>
      </c>
      <c r="AQ101" s="224">
        <v>4.7</v>
      </c>
      <c r="AR101" s="468">
        <v>6.3</v>
      </c>
      <c r="AS101" s="468">
        <v>2.9</v>
      </c>
      <c r="AT101" s="463">
        <v>3.7</v>
      </c>
      <c r="AU101" s="462">
        <v>4.7</v>
      </c>
      <c r="AV101" s="254">
        <v>5.0999999999999996</v>
      </c>
      <c r="AW101" s="254">
        <v>3.3</v>
      </c>
      <c r="AX101" s="224">
        <v>4.9000000000000004</v>
      </c>
      <c r="AY101" s="254">
        <v>3.6</v>
      </c>
      <c r="AZ101" s="58" t="s">
        <v>39</v>
      </c>
      <c r="BA101" s="252">
        <v>8.1</v>
      </c>
      <c r="BB101" s="494"/>
    </row>
    <row r="102" spans="1:54" ht="12" customHeight="1" x14ac:dyDescent="0.25">
      <c r="A102" s="432" t="s">
        <v>80</v>
      </c>
      <c r="B102" s="229">
        <v>50.8</v>
      </c>
      <c r="C102" s="227">
        <v>37.9</v>
      </c>
      <c r="D102" s="228">
        <v>36</v>
      </c>
      <c r="E102" s="132">
        <v>56.6</v>
      </c>
      <c r="F102" s="228">
        <v>52</v>
      </c>
      <c r="G102" s="228">
        <v>34.6</v>
      </c>
      <c r="H102" s="228">
        <v>47</v>
      </c>
      <c r="I102" s="132">
        <v>48</v>
      </c>
      <c r="J102" s="228">
        <v>48.2</v>
      </c>
      <c r="K102" s="228">
        <v>47.561608454927338</v>
      </c>
      <c r="L102" s="228">
        <v>24.835823330851834</v>
      </c>
      <c r="M102" s="132">
        <v>27.629083094479817</v>
      </c>
      <c r="N102" s="481" t="s">
        <v>160</v>
      </c>
      <c r="O102" s="229">
        <v>30.7</v>
      </c>
      <c r="P102" s="226">
        <v>32.799999999999997</v>
      </c>
      <c r="Q102" s="226">
        <v>33.700000000000003</v>
      </c>
      <c r="R102" s="226">
        <v>21.8</v>
      </c>
      <c r="S102" s="226">
        <v>24.7</v>
      </c>
      <c r="T102" s="226">
        <v>31.6</v>
      </c>
      <c r="U102" s="226">
        <v>24</v>
      </c>
      <c r="V102" s="226">
        <v>21.6</v>
      </c>
      <c r="W102" s="230">
        <v>34.700000000000003</v>
      </c>
      <c r="X102" s="132">
        <v>36.799999999999997</v>
      </c>
      <c r="Y102" s="179">
        <v>51.742767109597288</v>
      </c>
      <c r="Z102" s="132">
        <v>49.771135948219701</v>
      </c>
      <c r="AA102" s="481" t="s">
        <v>160</v>
      </c>
      <c r="AB102" s="229">
        <v>1</v>
      </c>
      <c r="AC102" s="226">
        <v>3.6</v>
      </c>
      <c r="AD102" s="226">
        <v>5</v>
      </c>
      <c r="AE102" s="226">
        <v>4.4000000000000004</v>
      </c>
      <c r="AF102" s="226">
        <v>5.0999999999999996</v>
      </c>
      <c r="AG102" s="226">
        <v>7.4</v>
      </c>
      <c r="AH102" s="226">
        <v>6</v>
      </c>
      <c r="AI102" s="226">
        <v>5.5</v>
      </c>
      <c r="AJ102" s="230">
        <v>9.1999999999999993</v>
      </c>
      <c r="AK102" s="231">
        <v>9.6915198385013888</v>
      </c>
      <c r="AL102" s="231">
        <v>15.042902742226619</v>
      </c>
      <c r="AM102" s="231">
        <v>14.099612932544298</v>
      </c>
      <c r="AN102" s="481" t="s">
        <v>160</v>
      </c>
      <c r="AO102" s="481">
        <v>3.5</v>
      </c>
      <c r="AP102" s="232">
        <v>8.3000000000000007</v>
      </c>
      <c r="AQ102" s="132">
        <v>8.4</v>
      </c>
      <c r="AR102" s="469">
        <v>4.5</v>
      </c>
      <c r="AS102" s="469">
        <v>5.8</v>
      </c>
      <c r="AT102" s="226">
        <v>6.9</v>
      </c>
      <c r="AU102" s="230">
        <v>4.0999999999999996</v>
      </c>
      <c r="AV102" s="228">
        <v>3.8</v>
      </c>
      <c r="AW102" s="228">
        <v>2.9</v>
      </c>
      <c r="AX102" s="469">
        <v>2.1946295774020692</v>
      </c>
      <c r="AY102" s="228">
        <v>2.666843430995625</v>
      </c>
      <c r="AZ102" s="132">
        <v>2.4119648491148307</v>
      </c>
      <c r="BA102" s="481" t="s">
        <v>39</v>
      </c>
      <c r="BB102" s="492"/>
    </row>
    <row r="103" spans="1:54" ht="23.25" customHeight="1" x14ac:dyDescent="0.25">
      <c r="B103" s="515" t="s">
        <v>126</v>
      </c>
      <c r="C103" s="516"/>
      <c r="D103" s="516"/>
      <c r="E103" s="516"/>
      <c r="F103" s="516"/>
      <c r="G103" s="516"/>
      <c r="H103" s="516"/>
      <c r="I103" s="516"/>
      <c r="J103" s="516"/>
      <c r="K103" s="516"/>
      <c r="L103" s="516"/>
      <c r="M103" s="516"/>
      <c r="N103" s="516"/>
      <c r="O103" s="484"/>
    </row>
    <row r="104" spans="1:54" ht="15" customHeight="1" x14ac:dyDescent="0.25">
      <c r="B104" s="517" t="s">
        <v>135</v>
      </c>
      <c r="C104" s="510"/>
      <c r="D104" s="510"/>
      <c r="E104" s="510"/>
      <c r="F104" s="510"/>
      <c r="G104" s="510"/>
      <c r="H104" s="510"/>
      <c r="I104" s="510"/>
      <c r="J104" s="510"/>
      <c r="K104" s="510"/>
      <c r="L104" s="510"/>
      <c r="M104" s="510"/>
      <c r="N104" s="510"/>
      <c r="O104" s="407"/>
    </row>
  </sheetData>
  <mergeCells count="8">
    <mergeCell ref="O3:AA3"/>
    <mergeCell ref="AB3:AN3"/>
    <mergeCell ref="AO3:BA3"/>
    <mergeCell ref="B103:N103"/>
    <mergeCell ref="B104:N104"/>
    <mergeCell ref="B3:N3"/>
    <mergeCell ref="B1:N1"/>
    <mergeCell ref="B2:N2"/>
  </mergeCells>
  <pageMargins left="0.74803149606299213" right="0.23622047244094491" top="0.74803149606299213" bottom="0.74803149606299213" header="0.31496062992125984" footer="0.31496062992125984"/>
  <pageSetup paperSize="9" scale="85" fitToHeight="0" orientation="landscape" r:id="rId1"/>
  <headerFooter differentOddEven="1" differentFirst="1" alignWithMargins="0">
    <oddHeader>&amp;C&amp;7СТРОИТЕЛЬНЫЕ ОРГАНИЗАЦИИ&amp;R&amp;6&amp;UПродолжение таблицы 2.4.</oddHeader>
    <oddFooter>&amp;L&amp;P&amp;C&amp;8СТРОИТЕЛЬСТВО В РОССИИ. 2022&amp;R&amp;G</oddFooter>
    <evenHeader>&amp;C&amp;7СТРОИТЕЛЬНЫЕ ОРГАНИЗАЦИИ&amp;R&amp;6&amp;UПродолжение таблицы 2.4.</evenHeader>
    <evenFooter>&amp;L&amp;G&amp;C&amp;8СТРОИТЕЛЬСТВО В РОССИИ. 2022&amp;R&amp;P</evenFooter>
    <firstHeader>&amp;C&amp;7СТРОИТЕЛЬНЫЕ ОРГАНИЗАЦИИ</firstHeader>
    <firstFooter>&amp;L&amp;P&amp;C&amp;8СТРОИТЕЛЬСТВО В РОССИИ. 2022&amp;R&amp;G</firstFooter>
  </headerFooter>
  <rowBreaks count="2" manualBreakCount="2">
    <brk id="38" max="52" man="1"/>
    <brk id="70" max="52" man="1"/>
  </rowBreaks>
  <colBreaks count="3" manualBreakCount="3">
    <brk id="14" max="103" man="1"/>
    <brk id="27" max="1048575" man="1"/>
    <brk id="40" max="103" man="1"/>
  </col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6"/>
  <sheetViews>
    <sheetView tabSelected="1" topLeftCell="A84" zoomScale="110" zoomScaleNormal="110" workbookViewId="0">
      <selection activeCell="A97" sqref="A97"/>
    </sheetView>
  </sheetViews>
  <sheetFormatPr defaultColWidth="9.140625" defaultRowHeight="11.25" x14ac:dyDescent="0.2"/>
  <cols>
    <col min="1" max="1" width="23.7109375" style="14" customWidth="1"/>
    <col min="2" max="15" width="9.7109375" style="14" customWidth="1"/>
    <col min="16" max="16384" width="9.140625" style="14"/>
  </cols>
  <sheetData>
    <row r="1" spans="1:24" ht="15" customHeight="1" x14ac:dyDescent="0.25">
      <c r="B1" s="527" t="s">
        <v>132</v>
      </c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01"/>
      <c r="O1" s="501"/>
      <c r="P1" s="15"/>
      <c r="Q1" s="15"/>
      <c r="R1" s="15"/>
      <c r="S1" s="15"/>
      <c r="T1" s="15"/>
      <c r="U1" s="15"/>
      <c r="V1" s="15"/>
      <c r="W1" s="15"/>
      <c r="X1" s="15"/>
    </row>
    <row r="2" spans="1:24" ht="15" customHeight="1" x14ac:dyDescent="0.25">
      <c r="B2" s="528" t="s">
        <v>86</v>
      </c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03"/>
      <c r="O2" s="503"/>
      <c r="P2" s="16"/>
      <c r="Q2" s="16"/>
      <c r="R2" s="16"/>
      <c r="S2" s="15"/>
      <c r="T2" s="15"/>
      <c r="U2" s="16"/>
      <c r="V2" s="16"/>
      <c r="W2" s="16"/>
      <c r="X2" s="16"/>
    </row>
    <row r="3" spans="1:24" s="39" customFormat="1" ht="15" customHeight="1" x14ac:dyDescent="0.25">
      <c r="A3" s="24"/>
      <c r="B3" s="36">
        <v>2000</v>
      </c>
      <c r="C3" s="33">
        <v>2005</v>
      </c>
      <c r="D3" s="33">
        <v>2010</v>
      </c>
      <c r="E3" s="33">
        <v>2011</v>
      </c>
      <c r="F3" s="34">
        <v>2012</v>
      </c>
      <c r="G3" s="33">
        <v>2013</v>
      </c>
      <c r="H3" s="33">
        <v>2014</v>
      </c>
      <c r="I3" s="34">
        <v>2015</v>
      </c>
      <c r="J3" s="34">
        <v>2016</v>
      </c>
      <c r="K3" s="33">
        <v>2017</v>
      </c>
      <c r="L3" s="33">
        <v>2018</v>
      </c>
      <c r="M3" s="33">
        <v>2019</v>
      </c>
      <c r="N3" s="255">
        <v>2020</v>
      </c>
      <c r="O3" s="255">
        <v>2021</v>
      </c>
      <c r="P3" s="40"/>
      <c r="Q3" s="40"/>
      <c r="R3" s="40"/>
      <c r="S3" s="40"/>
      <c r="T3" s="40"/>
      <c r="U3" s="40"/>
      <c r="V3" s="40"/>
      <c r="W3" s="40"/>
      <c r="X3" s="40"/>
    </row>
    <row r="4" spans="1:24" ht="15" x14ac:dyDescent="0.25">
      <c r="A4" s="187" t="s">
        <v>1</v>
      </c>
      <c r="B4" s="188">
        <v>-27</v>
      </c>
      <c r="C4" s="188">
        <v>-10</v>
      </c>
      <c r="D4" s="188">
        <v>-14</v>
      </c>
      <c r="E4" s="188">
        <v>-8</v>
      </c>
      <c r="F4" s="189">
        <v>-7.75</v>
      </c>
      <c r="G4" s="233">
        <v>-5</v>
      </c>
      <c r="H4" s="191">
        <v>-6</v>
      </c>
      <c r="I4" s="192">
        <v>-9</v>
      </c>
      <c r="J4" s="189">
        <v>-17</v>
      </c>
      <c r="K4" s="234">
        <v>-17</v>
      </c>
      <c r="L4" s="234">
        <v>-22.25</v>
      </c>
      <c r="M4" s="234">
        <v>-20</v>
      </c>
      <c r="N4" s="416">
        <v>-20.25</v>
      </c>
      <c r="O4" s="416">
        <v>-15</v>
      </c>
      <c r="P4" s="17"/>
      <c r="Q4" s="17"/>
      <c r="R4" s="17"/>
      <c r="S4" s="15"/>
      <c r="T4" s="15"/>
      <c r="U4" s="17"/>
      <c r="V4" s="15"/>
      <c r="W4" s="15"/>
      <c r="X4" s="15"/>
    </row>
    <row r="5" spans="1:24" ht="22.5" customHeight="1" x14ac:dyDescent="0.25">
      <c r="A5" s="196" t="s">
        <v>150</v>
      </c>
      <c r="B5" s="188">
        <v>-31</v>
      </c>
      <c r="C5" s="188">
        <v>-19</v>
      </c>
      <c r="D5" s="188">
        <v>-21</v>
      </c>
      <c r="E5" s="188">
        <v>-14</v>
      </c>
      <c r="F5" s="189">
        <v>-12.5</v>
      </c>
      <c r="G5" s="192">
        <v>-9</v>
      </c>
      <c r="H5" s="191">
        <v>-7</v>
      </c>
      <c r="I5" s="192">
        <v>-9</v>
      </c>
      <c r="J5" s="189">
        <v>-15.75</v>
      </c>
      <c r="K5" s="234">
        <v>-18.25</v>
      </c>
      <c r="L5" s="234">
        <v>-26.25</v>
      </c>
      <c r="M5" s="234">
        <v>-28</v>
      </c>
      <c r="N5" s="416">
        <v>-16.75</v>
      </c>
      <c r="O5" s="416">
        <v>-17</v>
      </c>
      <c r="P5" s="18"/>
      <c r="Q5" s="18"/>
      <c r="R5" s="18"/>
      <c r="S5" s="19"/>
      <c r="T5" s="15"/>
      <c r="U5" s="17"/>
      <c r="V5" s="15"/>
      <c r="W5" s="15"/>
      <c r="X5" s="15"/>
    </row>
    <row r="6" spans="1:24" ht="15" x14ac:dyDescent="0.25">
      <c r="A6" s="203" t="s">
        <v>2</v>
      </c>
      <c r="B6" s="235">
        <v>-26</v>
      </c>
      <c r="C6" s="235">
        <v>-7</v>
      </c>
      <c r="D6" s="235">
        <v>-30</v>
      </c>
      <c r="E6" s="235">
        <v>-17</v>
      </c>
      <c r="F6" s="236">
        <v>0.5</v>
      </c>
      <c r="G6" s="237">
        <v>-9</v>
      </c>
      <c r="H6" s="238">
        <v>-13</v>
      </c>
      <c r="I6" s="237">
        <v>-24</v>
      </c>
      <c r="J6" s="236">
        <v>-17.75</v>
      </c>
      <c r="K6" s="239">
        <v>-16.5</v>
      </c>
      <c r="L6" s="239">
        <v>-12.5</v>
      </c>
      <c r="M6" s="239">
        <v>-21.75</v>
      </c>
      <c r="N6" s="417">
        <v>-14.5</v>
      </c>
      <c r="O6" s="417">
        <v>-22</v>
      </c>
      <c r="P6" s="18"/>
      <c r="Q6" s="18"/>
      <c r="R6" s="18"/>
      <c r="S6" s="19"/>
      <c r="T6" s="19"/>
      <c r="U6" s="20"/>
    </row>
    <row r="7" spans="1:24" ht="15" x14ac:dyDescent="0.25">
      <c r="A7" s="203" t="s">
        <v>3</v>
      </c>
      <c r="B7" s="235">
        <v>-28</v>
      </c>
      <c r="C7" s="235">
        <v>-14</v>
      </c>
      <c r="D7" s="235">
        <v>-26</v>
      </c>
      <c r="E7" s="235">
        <v>4</v>
      </c>
      <c r="F7" s="236">
        <v>7</v>
      </c>
      <c r="G7" s="237">
        <v>-4</v>
      </c>
      <c r="H7" s="238">
        <v>10</v>
      </c>
      <c r="I7" s="237">
        <v>-6</v>
      </c>
      <c r="J7" s="236">
        <v>-6</v>
      </c>
      <c r="K7" s="239">
        <v>-3.25</v>
      </c>
      <c r="L7" s="239">
        <v>-38.75</v>
      </c>
      <c r="M7" s="239">
        <v>-9.25</v>
      </c>
      <c r="N7" s="417">
        <v>-18.75</v>
      </c>
      <c r="O7" s="417">
        <v>-25</v>
      </c>
      <c r="P7" s="18"/>
      <c r="Q7" s="18"/>
      <c r="R7" s="18"/>
      <c r="S7" s="19"/>
      <c r="T7" s="19"/>
      <c r="U7" s="20"/>
    </row>
    <row r="8" spans="1:24" ht="15" x14ac:dyDescent="0.25">
      <c r="A8" s="203" t="s">
        <v>4</v>
      </c>
      <c r="B8" s="235">
        <v>-31</v>
      </c>
      <c r="C8" s="235">
        <v>-18</v>
      </c>
      <c r="D8" s="235">
        <v>-17</v>
      </c>
      <c r="E8" s="235">
        <v>-21</v>
      </c>
      <c r="F8" s="236">
        <v>-18.5</v>
      </c>
      <c r="G8" s="237">
        <v>-13</v>
      </c>
      <c r="H8" s="238">
        <v>-15</v>
      </c>
      <c r="I8" s="237">
        <v>-2</v>
      </c>
      <c r="J8" s="236">
        <v>-6.75</v>
      </c>
      <c r="K8" s="239">
        <v>-7.25</v>
      </c>
      <c r="L8" s="239">
        <v>-6.5</v>
      </c>
      <c r="M8" s="239">
        <v>-20.75</v>
      </c>
      <c r="N8" s="417">
        <v>-28.75</v>
      </c>
      <c r="O8" s="417">
        <v>-25</v>
      </c>
      <c r="P8" s="18"/>
      <c r="Q8" s="18"/>
      <c r="R8" s="18"/>
      <c r="S8" s="19"/>
      <c r="T8" s="19"/>
      <c r="U8" s="20"/>
    </row>
    <row r="9" spans="1:24" ht="15" x14ac:dyDescent="0.25">
      <c r="A9" s="203" t="s">
        <v>5</v>
      </c>
      <c r="B9" s="235">
        <v>-38</v>
      </c>
      <c r="C9" s="235">
        <v>-8</v>
      </c>
      <c r="D9" s="235">
        <v>-17</v>
      </c>
      <c r="E9" s="235">
        <v>-16</v>
      </c>
      <c r="F9" s="236">
        <v>-2</v>
      </c>
      <c r="G9" s="237">
        <v>-1</v>
      </c>
      <c r="H9" s="238">
        <v>0</v>
      </c>
      <c r="I9" s="237">
        <v>-7</v>
      </c>
      <c r="J9" s="236">
        <v>-24.75</v>
      </c>
      <c r="K9" s="239">
        <v>-20</v>
      </c>
      <c r="L9" s="239">
        <v>-26.5</v>
      </c>
      <c r="M9" s="239">
        <v>-11.25</v>
      </c>
      <c r="N9" s="417">
        <v>-17.25</v>
      </c>
      <c r="O9" s="417">
        <v>-21</v>
      </c>
      <c r="P9" s="18"/>
      <c r="Q9" s="18"/>
      <c r="R9" s="18"/>
      <c r="S9" s="19"/>
      <c r="T9" s="19"/>
      <c r="U9" s="20"/>
    </row>
    <row r="10" spans="1:24" ht="15" x14ac:dyDescent="0.25">
      <c r="A10" s="203" t="s">
        <v>6</v>
      </c>
      <c r="B10" s="235">
        <v>-19</v>
      </c>
      <c r="C10" s="235">
        <v>-17</v>
      </c>
      <c r="D10" s="235">
        <v>-40</v>
      </c>
      <c r="E10" s="235">
        <v>-24</v>
      </c>
      <c r="F10" s="236">
        <v>-28</v>
      </c>
      <c r="G10" s="237">
        <v>-21</v>
      </c>
      <c r="H10" s="238">
        <v>-19</v>
      </c>
      <c r="I10" s="237">
        <v>-16</v>
      </c>
      <c r="J10" s="236">
        <v>-25.25</v>
      </c>
      <c r="K10" s="239">
        <v>-34.5</v>
      </c>
      <c r="L10" s="239">
        <v>-42.5</v>
      </c>
      <c r="M10" s="239">
        <v>-29</v>
      </c>
      <c r="N10" s="417">
        <v>-4.25</v>
      </c>
      <c r="O10" s="417">
        <v>-27</v>
      </c>
      <c r="P10" s="18"/>
      <c r="Q10" s="18"/>
      <c r="R10" s="18"/>
      <c r="S10" s="19"/>
      <c r="T10" s="19"/>
      <c r="U10" s="20"/>
    </row>
    <row r="11" spans="1:24" ht="15" x14ac:dyDescent="0.25">
      <c r="A11" s="203" t="s">
        <v>7</v>
      </c>
      <c r="B11" s="235">
        <v>-30</v>
      </c>
      <c r="C11" s="235">
        <v>-11</v>
      </c>
      <c r="D11" s="235">
        <v>-22</v>
      </c>
      <c r="E11" s="235">
        <v>-20</v>
      </c>
      <c r="F11" s="236">
        <v>-15.25</v>
      </c>
      <c r="G11" s="237">
        <v>-15</v>
      </c>
      <c r="H11" s="238">
        <v>-12</v>
      </c>
      <c r="I11" s="237">
        <v>-15</v>
      </c>
      <c r="J11" s="236">
        <v>-33</v>
      </c>
      <c r="K11" s="239">
        <v>-22.25</v>
      </c>
      <c r="L11" s="239">
        <v>-20</v>
      </c>
      <c r="M11" s="239">
        <v>-16.75</v>
      </c>
      <c r="N11" s="417">
        <v>-20.25</v>
      </c>
      <c r="O11" s="417">
        <v>-27</v>
      </c>
      <c r="P11" s="18"/>
      <c r="Q11" s="18"/>
      <c r="R11" s="18"/>
      <c r="S11" s="19"/>
      <c r="T11" s="19"/>
      <c r="U11" s="20"/>
    </row>
    <row r="12" spans="1:24" ht="15" x14ac:dyDescent="0.25">
      <c r="A12" s="203" t="s">
        <v>8</v>
      </c>
      <c r="B12" s="235">
        <v>-31</v>
      </c>
      <c r="C12" s="235">
        <v>-19</v>
      </c>
      <c r="D12" s="235">
        <v>-22</v>
      </c>
      <c r="E12" s="235">
        <v>-14</v>
      </c>
      <c r="F12" s="236">
        <v>-6</v>
      </c>
      <c r="G12" s="237">
        <v>-16</v>
      </c>
      <c r="H12" s="238">
        <v>-12</v>
      </c>
      <c r="I12" s="237">
        <v>-8</v>
      </c>
      <c r="J12" s="236">
        <v>-27</v>
      </c>
      <c r="K12" s="239">
        <v>-21.25</v>
      </c>
      <c r="L12" s="239">
        <v>-14</v>
      </c>
      <c r="M12" s="239">
        <v>-14.75</v>
      </c>
      <c r="N12" s="417">
        <v>-23</v>
      </c>
      <c r="O12" s="417">
        <v>-14</v>
      </c>
      <c r="P12" s="18"/>
      <c r="Q12" s="18"/>
      <c r="R12" s="18"/>
      <c r="S12" s="19"/>
      <c r="T12" s="19"/>
      <c r="U12" s="20"/>
    </row>
    <row r="13" spans="1:24" ht="15" x14ac:dyDescent="0.25">
      <c r="A13" s="203" t="s">
        <v>9</v>
      </c>
      <c r="B13" s="235">
        <v>-27</v>
      </c>
      <c r="C13" s="235">
        <v>-18</v>
      </c>
      <c r="D13" s="235">
        <v>-5</v>
      </c>
      <c r="E13" s="235">
        <v>-4</v>
      </c>
      <c r="F13" s="236">
        <v>-20.75</v>
      </c>
      <c r="G13" s="237">
        <v>-9</v>
      </c>
      <c r="H13" s="238">
        <v>-16</v>
      </c>
      <c r="I13" s="237">
        <v>-9</v>
      </c>
      <c r="J13" s="236">
        <v>-26.5</v>
      </c>
      <c r="K13" s="239">
        <v>-19.25</v>
      </c>
      <c r="L13" s="239">
        <v>-22.75</v>
      </c>
      <c r="M13" s="239">
        <v>-21.25</v>
      </c>
      <c r="N13" s="417">
        <v>-16.5</v>
      </c>
      <c r="O13" s="417">
        <v>-14</v>
      </c>
      <c r="P13" s="18"/>
      <c r="Q13" s="18"/>
      <c r="R13" s="18"/>
      <c r="S13" s="19"/>
      <c r="T13" s="19"/>
      <c r="U13" s="20"/>
    </row>
    <row r="14" spans="1:24" ht="15" x14ac:dyDescent="0.25">
      <c r="A14" s="203" t="s">
        <v>10</v>
      </c>
      <c r="B14" s="235">
        <v>-17</v>
      </c>
      <c r="C14" s="235">
        <v>-2</v>
      </c>
      <c r="D14" s="235">
        <v>2</v>
      </c>
      <c r="E14" s="235">
        <v>3</v>
      </c>
      <c r="F14" s="236">
        <v>10.25</v>
      </c>
      <c r="G14" s="237">
        <v>5</v>
      </c>
      <c r="H14" s="238">
        <v>5</v>
      </c>
      <c r="I14" s="237">
        <v>-2</v>
      </c>
      <c r="J14" s="236">
        <v>-9.75</v>
      </c>
      <c r="K14" s="239">
        <v>-19.75</v>
      </c>
      <c r="L14" s="239">
        <v>-18.75</v>
      </c>
      <c r="M14" s="239">
        <v>-14.5</v>
      </c>
      <c r="N14" s="417">
        <v>-9.25</v>
      </c>
      <c r="O14" s="417">
        <v>-27</v>
      </c>
      <c r="P14" s="18"/>
      <c r="Q14" s="18"/>
      <c r="R14" s="18"/>
      <c r="S14" s="19"/>
      <c r="T14" s="19"/>
      <c r="U14" s="20"/>
    </row>
    <row r="15" spans="1:24" ht="15" x14ac:dyDescent="0.25">
      <c r="A15" s="203" t="s">
        <v>11</v>
      </c>
      <c r="B15" s="235">
        <v>-58</v>
      </c>
      <c r="C15" s="235">
        <v>-28</v>
      </c>
      <c r="D15" s="235">
        <v>-34</v>
      </c>
      <c r="E15" s="235">
        <v>-22</v>
      </c>
      <c r="F15" s="236">
        <v>-9</v>
      </c>
      <c r="G15" s="237">
        <v>6</v>
      </c>
      <c r="H15" s="238">
        <v>-2</v>
      </c>
      <c r="I15" s="237">
        <v>-3</v>
      </c>
      <c r="J15" s="236">
        <v>-18.75</v>
      </c>
      <c r="K15" s="239">
        <v>-19.75</v>
      </c>
      <c r="L15" s="239">
        <v>-22.75</v>
      </c>
      <c r="M15" s="239">
        <v>-33.75</v>
      </c>
      <c r="N15" s="417">
        <v>-34.75</v>
      </c>
      <c r="O15" s="417">
        <v>-27</v>
      </c>
      <c r="P15" s="18"/>
      <c r="Q15" s="18"/>
      <c r="R15" s="18"/>
      <c r="S15" s="19"/>
      <c r="T15" s="19"/>
      <c r="U15" s="20"/>
    </row>
    <row r="16" spans="1:24" ht="15" x14ac:dyDescent="0.25">
      <c r="A16" s="203" t="s">
        <v>12</v>
      </c>
      <c r="B16" s="235">
        <v>-16</v>
      </c>
      <c r="C16" s="235">
        <v>10</v>
      </c>
      <c r="D16" s="235">
        <v>-5</v>
      </c>
      <c r="E16" s="235">
        <v>-3</v>
      </c>
      <c r="F16" s="236">
        <v>5.75</v>
      </c>
      <c r="G16" s="237">
        <v>4</v>
      </c>
      <c r="H16" s="238">
        <v>2</v>
      </c>
      <c r="I16" s="237">
        <v>-5</v>
      </c>
      <c r="J16" s="236">
        <v>-36.5</v>
      </c>
      <c r="K16" s="239">
        <v>-34</v>
      </c>
      <c r="L16" s="239">
        <v>-32.25</v>
      </c>
      <c r="M16" s="239">
        <v>-33.5</v>
      </c>
      <c r="N16" s="417">
        <v>-25.25</v>
      </c>
      <c r="O16" s="417">
        <v>-26</v>
      </c>
      <c r="P16" s="18"/>
      <c r="Q16" s="18"/>
      <c r="R16" s="18"/>
      <c r="S16" s="19"/>
      <c r="T16" s="19"/>
      <c r="U16" s="20"/>
    </row>
    <row r="17" spans="1:21" ht="15" x14ac:dyDescent="0.25">
      <c r="A17" s="203" t="s">
        <v>13</v>
      </c>
      <c r="B17" s="235">
        <v>-22</v>
      </c>
      <c r="C17" s="235">
        <v>-6</v>
      </c>
      <c r="D17" s="235">
        <v>-12</v>
      </c>
      <c r="E17" s="235">
        <v>-11</v>
      </c>
      <c r="F17" s="236">
        <v>-17.75</v>
      </c>
      <c r="G17" s="237">
        <v>-13</v>
      </c>
      <c r="H17" s="238">
        <v>-17</v>
      </c>
      <c r="I17" s="237">
        <v>-13</v>
      </c>
      <c r="J17" s="236">
        <v>-30.75</v>
      </c>
      <c r="K17" s="239">
        <v>-34.25</v>
      </c>
      <c r="L17" s="239">
        <v>-30</v>
      </c>
      <c r="M17" s="239">
        <v>-29.25</v>
      </c>
      <c r="N17" s="417">
        <v>-28.75</v>
      </c>
      <c r="O17" s="417">
        <v>-29</v>
      </c>
      <c r="P17" s="18"/>
      <c r="Q17" s="18"/>
      <c r="R17" s="18"/>
      <c r="S17" s="19"/>
      <c r="T17" s="19"/>
      <c r="U17" s="20"/>
    </row>
    <row r="18" spans="1:21" ht="15" x14ac:dyDescent="0.25">
      <c r="A18" s="203" t="s">
        <v>14</v>
      </c>
      <c r="B18" s="235">
        <v>-29</v>
      </c>
      <c r="C18" s="235">
        <v>-20</v>
      </c>
      <c r="D18" s="235">
        <v>-20</v>
      </c>
      <c r="E18" s="235">
        <v>-19</v>
      </c>
      <c r="F18" s="236">
        <v>-19.5</v>
      </c>
      <c r="G18" s="237">
        <v>-14</v>
      </c>
      <c r="H18" s="238">
        <v>-23</v>
      </c>
      <c r="I18" s="237">
        <v>-24</v>
      </c>
      <c r="J18" s="236">
        <v>-27.25</v>
      </c>
      <c r="K18" s="239">
        <v>-33.5</v>
      </c>
      <c r="L18" s="239">
        <v>-22.25</v>
      </c>
      <c r="M18" s="239">
        <v>-25</v>
      </c>
      <c r="N18" s="417">
        <v>-20.25</v>
      </c>
      <c r="O18" s="417">
        <v>-17</v>
      </c>
      <c r="P18" s="18"/>
      <c r="Q18" s="18"/>
      <c r="R18" s="18"/>
      <c r="S18" s="19"/>
      <c r="T18" s="19"/>
      <c r="U18" s="20"/>
    </row>
    <row r="19" spans="1:21" ht="15" x14ac:dyDescent="0.25">
      <c r="A19" s="203" t="s">
        <v>15</v>
      </c>
      <c r="B19" s="235">
        <v>-43</v>
      </c>
      <c r="C19" s="235">
        <v>-8</v>
      </c>
      <c r="D19" s="235">
        <v>-38</v>
      </c>
      <c r="E19" s="235">
        <v>-30</v>
      </c>
      <c r="F19" s="236">
        <v>-28</v>
      </c>
      <c r="G19" s="237">
        <v>-25</v>
      </c>
      <c r="H19" s="238">
        <v>-24</v>
      </c>
      <c r="I19" s="237">
        <v>-24</v>
      </c>
      <c r="J19" s="236">
        <v>-24.75</v>
      </c>
      <c r="K19" s="239">
        <v>-30</v>
      </c>
      <c r="L19" s="239">
        <v>-27.5</v>
      </c>
      <c r="M19" s="239">
        <v>-24.75</v>
      </c>
      <c r="N19" s="417">
        <v>-27.75</v>
      </c>
      <c r="O19" s="417">
        <v>-23</v>
      </c>
      <c r="P19" s="18"/>
      <c r="Q19" s="18"/>
      <c r="R19" s="18"/>
      <c r="S19" s="19"/>
      <c r="T19" s="19"/>
      <c r="U19" s="20"/>
    </row>
    <row r="20" spans="1:21" ht="15" x14ac:dyDescent="0.25">
      <c r="A20" s="203" t="s">
        <v>16</v>
      </c>
      <c r="B20" s="235">
        <v>-36</v>
      </c>
      <c r="C20" s="235">
        <v>-40</v>
      </c>
      <c r="D20" s="235">
        <v>-13</v>
      </c>
      <c r="E20" s="235">
        <v>-15</v>
      </c>
      <c r="F20" s="236">
        <v>-11.75</v>
      </c>
      <c r="G20" s="237">
        <v>-9</v>
      </c>
      <c r="H20" s="238">
        <v>-16</v>
      </c>
      <c r="I20" s="237">
        <v>5</v>
      </c>
      <c r="J20" s="236">
        <v>9.75</v>
      </c>
      <c r="K20" s="239">
        <v>-8.75</v>
      </c>
      <c r="L20" s="239">
        <v>-12</v>
      </c>
      <c r="M20" s="239">
        <v>-24</v>
      </c>
      <c r="N20" s="417">
        <v>-22</v>
      </c>
      <c r="O20" s="417">
        <v>-21</v>
      </c>
      <c r="P20" s="18"/>
      <c r="Q20" s="18"/>
      <c r="R20" s="18"/>
      <c r="S20" s="19"/>
      <c r="T20" s="19"/>
      <c r="U20" s="20"/>
    </row>
    <row r="21" spans="1:21" ht="15" x14ac:dyDescent="0.25">
      <c r="A21" s="203" t="s">
        <v>17</v>
      </c>
      <c r="B21" s="235">
        <v>-53</v>
      </c>
      <c r="C21" s="235">
        <v>-28</v>
      </c>
      <c r="D21" s="235">
        <v>-28</v>
      </c>
      <c r="E21" s="235">
        <v>-14</v>
      </c>
      <c r="F21" s="236">
        <v>-6.25</v>
      </c>
      <c r="G21" s="237">
        <v>-9</v>
      </c>
      <c r="H21" s="238">
        <v>1</v>
      </c>
      <c r="I21" s="237">
        <v>-4</v>
      </c>
      <c r="J21" s="236">
        <v>-1</v>
      </c>
      <c r="K21" s="239">
        <v>-1.5</v>
      </c>
      <c r="L21" s="239">
        <v>-9.5</v>
      </c>
      <c r="M21" s="239">
        <v>-19</v>
      </c>
      <c r="N21" s="417">
        <v>-19.25</v>
      </c>
      <c r="O21" s="417">
        <v>-20</v>
      </c>
      <c r="P21" s="18"/>
      <c r="Q21" s="18"/>
      <c r="R21" s="18"/>
      <c r="S21" s="19"/>
      <c r="T21" s="19"/>
      <c r="U21" s="20"/>
    </row>
    <row r="22" spans="1:21" ht="15" x14ac:dyDescent="0.25">
      <c r="A22" s="203" t="s">
        <v>18</v>
      </c>
      <c r="B22" s="235">
        <v>-36</v>
      </c>
      <c r="C22" s="235">
        <v>-13</v>
      </c>
      <c r="D22" s="235">
        <v>-15</v>
      </c>
      <c r="E22" s="235">
        <v>-3</v>
      </c>
      <c r="F22" s="236">
        <v>-5.75</v>
      </c>
      <c r="G22" s="237">
        <v>-9</v>
      </c>
      <c r="H22" s="238">
        <v>-14</v>
      </c>
      <c r="I22" s="237">
        <v>-10</v>
      </c>
      <c r="J22" s="236">
        <v>-18.5</v>
      </c>
      <c r="K22" s="239">
        <v>-36.25</v>
      </c>
      <c r="L22" s="239">
        <v>-39.75</v>
      </c>
      <c r="M22" s="239">
        <v>-33</v>
      </c>
      <c r="N22" s="417">
        <v>-29.75</v>
      </c>
      <c r="O22" s="417">
        <v>-23</v>
      </c>
      <c r="P22" s="18"/>
      <c r="Q22" s="18"/>
      <c r="R22" s="18"/>
      <c r="S22" s="19"/>
      <c r="T22" s="19"/>
      <c r="U22" s="20"/>
    </row>
    <row r="23" spans="1:21" ht="15" x14ac:dyDescent="0.25">
      <c r="A23" s="203" t="s">
        <v>19</v>
      </c>
      <c r="B23" s="235">
        <v>-24</v>
      </c>
      <c r="C23" s="235">
        <v>-9</v>
      </c>
      <c r="D23" s="235">
        <v>-19</v>
      </c>
      <c r="E23" s="235">
        <v>-13</v>
      </c>
      <c r="F23" s="236">
        <v>-13.75</v>
      </c>
      <c r="G23" s="237">
        <v>-15</v>
      </c>
      <c r="H23" s="238">
        <v>-5</v>
      </c>
      <c r="I23" s="237">
        <v>-9</v>
      </c>
      <c r="J23" s="236">
        <v>-9.5</v>
      </c>
      <c r="K23" s="239">
        <v>-16</v>
      </c>
      <c r="L23" s="239">
        <v>-28.5</v>
      </c>
      <c r="M23" s="239">
        <v>-30.25</v>
      </c>
      <c r="N23" s="417">
        <v>-11.25</v>
      </c>
      <c r="O23" s="417">
        <v>-10</v>
      </c>
      <c r="P23" s="18"/>
      <c r="Q23" s="18"/>
      <c r="R23" s="18"/>
      <c r="S23" s="19"/>
      <c r="T23" s="19"/>
      <c r="U23" s="20"/>
    </row>
    <row r="24" spans="1:21" ht="21.75" customHeight="1" x14ac:dyDescent="0.25">
      <c r="A24" s="196" t="s">
        <v>144</v>
      </c>
      <c r="B24" s="188">
        <v>-23</v>
      </c>
      <c r="C24" s="188">
        <v>-5</v>
      </c>
      <c r="D24" s="188">
        <v>-18</v>
      </c>
      <c r="E24" s="188">
        <v>-3</v>
      </c>
      <c r="F24" s="189">
        <v>-8.25</v>
      </c>
      <c r="G24" s="192">
        <v>-1</v>
      </c>
      <c r="H24" s="191">
        <v>0</v>
      </c>
      <c r="I24" s="192">
        <v>-9</v>
      </c>
      <c r="J24" s="189">
        <v>-15.75</v>
      </c>
      <c r="K24" s="234">
        <v>-14.75</v>
      </c>
      <c r="L24" s="234">
        <v>-26.25</v>
      </c>
      <c r="M24" s="234">
        <v>-14.25</v>
      </c>
      <c r="N24" s="416">
        <v>-32.25</v>
      </c>
      <c r="O24" s="416">
        <v>-11</v>
      </c>
      <c r="P24" s="18"/>
      <c r="Q24" s="18"/>
      <c r="R24" s="18"/>
      <c r="S24" s="19"/>
      <c r="T24" s="19"/>
    </row>
    <row r="25" spans="1:21" ht="15" x14ac:dyDescent="0.25">
      <c r="A25" s="203" t="s">
        <v>20</v>
      </c>
      <c r="B25" s="235">
        <v>-21</v>
      </c>
      <c r="C25" s="235">
        <v>-20</v>
      </c>
      <c r="D25" s="235">
        <v>-29</v>
      </c>
      <c r="E25" s="235">
        <v>-29</v>
      </c>
      <c r="F25" s="236">
        <v>-32</v>
      </c>
      <c r="G25" s="237">
        <v>-6</v>
      </c>
      <c r="H25" s="238">
        <v>-19</v>
      </c>
      <c r="I25" s="237">
        <v>-17</v>
      </c>
      <c r="J25" s="236">
        <v>-27.75</v>
      </c>
      <c r="K25" s="239">
        <v>-30.5</v>
      </c>
      <c r="L25" s="239">
        <v>-26.5</v>
      </c>
      <c r="M25" s="239">
        <v>-11</v>
      </c>
      <c r="N25" s="417">
        <v>-21</v>
      </c>
      <c r="O25" s="417">
        <v>-22</v>
      </c>
      <c r="P25" s="18"/>
      <c r="Q25" s="18"/>
      <c r="R25" s="18"/>
      <c r="S25" s="19"/>
      <c r="T25" s="19"/>
    </row>
    <row r="26" spans="1:21" ht="15" x14ac:dyDescent="0.25">
      <c r="A26" s="203" t="s">
        <v>21</v>
      </c>
      <c r="B26" s="235">
        <v>-32</v>
      </c>
      <c r="C26" s="235">
        <v>-2</v>
      </c>
      <c r="D26" s="235">
        <v>-15</v>
      </c>
      <c r="E26" s="235">
        <v>-5</v>
      </c>
      <c r="F26" s="236">
        <v>-8.25</v>
      </c>
      <c r="G26" s="237">
        <v>6</v>
      </c>
      <c r="H26" s="238">
        <v>1</v>
      </c>
      <c r="I26" s="237">
        <v>-9</v>
      </c>
      <c r="J26" s="236">
        <v>-16.5</v>
      </c>
      <c r="K26" s="239">
        <v>-20.25</v>
      </c>
      <c r="L26" s="239">
        <v>-12.5</v>
      </c>
      <c r="M26" s="239">
        <v>-16.5</v>
      </c>
      <c r="N26" s="417">
        <v>-17.25</v>
      </c>
      <c r="O26" s="417">
        <v>-22</v>
      </c>
      <c r="P26" s="18"/>
      <c r="Q26" s="18"/>
      <c r="R26" s="18"/>
      <c r="S26" s="19"/>
      <c r="T26" s="19"/>
    </row>
    <row r="27" spans="1:21" ht="15" x14ac:dyDescent="0.25">
      <c r="A27" s="203" t="s">
        <v>22</v>
      </c>
      <c r="B27" s="235">
        <v>-11</v>
      </c>
      <c r="C27" s="235">
        <v>-11</v>
      </c>
      <c r="D27" s="235">
        <v>-19</v>
      </c>
      <c r="E27" s="235">
        <v>-10</v>
      </c>
      <c r="F27" s="236">
        <v>-15</v>
      </c>
      <c r="G27" s="237">
        <v>-11</v>
      </c>
      <c r="H27" s="238">
        <v>-26</v>
      </c>
      <c r="I27" s="237">
        <v>-18</v>
      </c>
      <c r="J27" s="236">
        <v>-34.5</v>
      </c>
      <c r="K27" s="239">
        <v>-35.25</v>
      </c>
      <c r="L27" s="239">
        <v>-32.25</v>
      </c>
      <c r="M27" s="239">
        <v>-31</v>
      </c>
      <c r="N27" s="417">
        <v>-27.25</v>
      </c>
      <c r="O27" s="417">
        <v>-18</v>
      </c>
      <c r="P27" s="18"/>
      <c r="Q27" s="18"/>
      <c r="R27" s="18"/>
      <c r="S27" s="19"/>
      <c r="T27" s="19"/>
    </row>
    <row r="28" spans="1:21" ht="15" x14ac:dyDescent="0.25">
      <c r="A28" s="203" t="s">
        <v>23</v>
      </c>
      <c r="B28" s="235">
        <v>-13</v>
      </c>
      <c r="C28" s="235">
        <v>-1</v>
      </c>
      <c r="D28" s="235">
        <v>-26</v>
      </c>
      <c r="E28" s="235">
        <v>-17</v>
      </c>
      <c r="F28" s="236">
        <v>-18.75</v>
      </c>
      <c r="G28" s="237">
        <v>-9</v>
      </c>
      <c r="H28" s="238">
        <v>-11</v>
      </c>
      <c r="I28" s="237">
        <v>-14</v>
      </c>
      <c r="J28" s="236">
        <v>-23.5</v>
      </c>
      <c r="K28" s="239">
        <v>-24</v>
      </c>
      <c r="L28" s="239">
        <v>-17.75</v>
      </c>
      <c r="M28" s="239">
        <v>-10.25</v>
      </c>
      <c r="N28" s="417">
        <v>-2.5</v>
      </c>
      <c r="O28" s="417">
        <v>-6</v>
      </c>
      <c r="P28" s="18"/>
      <c r="Q28" s="18"/>
      <c r="R28" s="18"/>
      <c r="S28" s="19"/>
      <c r="T28" s="19"/>
    </row>
    <row r="29" spans="1:21" ht="15" x14ac:dyDescent="0.25">
      <c r="A29" s="203" t="s">
        <v>24</v>
      </c>
      <c r="B29" s="235">
        <v>-22</v>
      </c>
      <c r="C29" s="235">
        <v>-2</v>
      </c>
      <c r="D29" s="235">
        <v>-33</v>
      </c>
      <c r="E29" s="235">
        <v>-32</v>
      </c>
      <c r="F29" s="236">
        <v>-30.75</v>
      </c>
      <c r="G29" s="237">
        <v>-25</v>
      </c>
      <c r="H29" s="238">
        <v>-19</v>
      </c>
      <c r="I29" s="237">
        <v>-3</v>
      </c>
      <c r="J29" s="236">
        <v>6.25</v>
      </c>
      <c r="K29" s="239">
        <v>4.25</v>
      </c>
      <c r="L29" s="239">
        <v>-9</v>
      </c>
      <c r="M29" s="239">
        <v>-3.75</v>
      </c>
      <c r="N29" s="417">
        <v>-22.25</v>
      </c>
      <c r="O29" s="417">
        <v>-16</v>
      </c>
      <c r="P29" s="18"/>
      <c r="Q29" s="18"/>
      <c r="R29" s="18"/>
      <c r="S29" s="19"/>
      <c r="T29" s="19"/>
    </row>
    <row r="30" spans="1:21" ht="15" x14ac:dyDescent="0.25">
      <c r="A30" s="203" t="s">
        <v>25</v>
      </c>
      <c r="B30" s="235"/>
      <c r="C30" s="235"/>
      <c r="D30" s="235">
        <v>-3</v>
      </c>
      <c r="E30" s="235">
        <v>21</v>
      </c>
      <c r="F30" s="236">
        <v>0.5</v>
      </c>
      <c r="G30" s="237">
        <v>-1</v>
      </c>
      <c r="H30" s="238">
        <v>-5</v>
      </c>
      <c r="I30" s="237">
        <v>-2</v>
      </c>
      <c r="J30" s="236">
        <v>-12.75</v>
      </c>
      <c r="K30" s="239">
        <v>-11.5</v>
      </c>
      <c r="L30" s="239">
        <v>-32.5</v>
      </c>
      <c r="M30" s="239">
        <v>-1.5</v>
      </c>
      <c r="N30" s="417">
        <v>-25</v>
      </c>
      <c r="O30" s="417">
        <v>-32</v>
      </c>
      <c r="P30" s="18"/>
      <c r="Q30" s="18"/>
      <c r="R30" s="18"/>
      <c r="S30" s="19"/>
      <c r="T30" s="19"/>
    </row>
    <row r="31" spans="1:21" ht="15" x14ac:dyDescent="0.25">
      <c r="A31" s="203" t="s">
        <v>26</v>
      </c>
      <c r="B31" s="235">
        <v>-24</v>
      </c>
      <c r="C31" s="235">
        <v>-9</v>
      </c>
      <c r="D31" s="235">
        <v>-17</v>
      </c>
      <c r="E31" s="235">
        <v>-9</v>
      </c>
      <c r="F31" s="236">
        <v>-9.75</v>
      </c>
      <c r="G31" s="237">
        <v>-16</v>
      </c>
      <c r="H31" s="238">
        <v>-18</v>
      </c>
      <c r="I31" s="237">
        <v>-21</v>
      </c>
      <c r="J31" s="236">
        <v>-22.5</v>
      </c>
      <c r="K31" s="239">
        <v>-5.5</v>
      </c>
      <c r="L31" s="239">
        <v>-3.3333333333333335</v>
      </c>
      <c r="M31" s="239">
        <v>-12.5</v>
      </c>
      <c r="N31" s="417">
        <v>-19.75</v>
      </c>
      <c r="O31" s="417">
        <v>-16</v>
      </c>
      <c r="P31" s="18"/>
      <c r="Q31" s="18"/>
      <c r="R31" s="18"/>
      <c r="S31" s="19"/>
      <c r="T31" s="19"/>
    </row>
    <row r="32" spans="1:21" ht="15" x14ac:dyDescent="0.25">
      <c r="A32" s="203" t="s">
        <v>27</v>
      </c>
      <c r="B32" s="235">
        <v>-30</v>
      </c>
      <c r="C32" s="235">
        <v>-25</v>
      </c>
      <c r="D32" s="235">
        <v>-26</v>
      </c>
      <c r="E32" s="235">
        <v>-23</v>
      </c>
      <c r="F32" s="236">
        <v>-20.5</v>
      </c>
      <c r="G32" s="237">
        <v>-13</v>
      </c>
      <c r="H32" s="238">
        <v>-14</v>
      </c>
      <c r="I32" s="237">
        <v>-16</v>
      </c>
      <c r="J32" s="236">
        <v>-32.5</v>
      </c>
      <c r="K32" s="239">
        <v>-30.25</v>
      </c>
      <c r="L32" s="239">
        <v>-25.5</v>
      </c>
      <c r="M32" s="239">
        <v>-36.25</v>
      </c>
      <c r="N32" s="417">
        <v>-32</v>
      </c>
      <c r="O32" s="417">
        <v>-28</v>
      </c>
      <c r="P32" s="18"/>
      <c r="Q32" s="18"/>
      <c r="R32" s="18"/>
      <c r="S32" s="19"/>
      <c r="T32" s="19"/>
    </row>
    <row r="33" spans="1:20" ht="15" x14ac:dyDescent="0.25">
      <c r="A33" s="203" t="s">
        <v>28</v>
      </c>
      <c r="B33" s="235">
        <v>-21</v>
      </c>
      <c r="C33" s="235">
        <v>-42</v>
      </c>
      <c r="D33" s="235">
        <v>-15</v>
      </c>
      <c r="E33" s="235">
        <v>-18</v>
      </c>
      <c r="F33" s="236">
        <v>-12</v>
      </c>
      <c r="G33" s="237">
        <v>-22</v>
      </c>
      <c r="H33" s="238">
        <v>-26</v>
      </c>
      <c r="I33" s="237">
        <v>-16</v>
      </c>
      <c r="J33" s="236">
        <v>-20</v>
      </c>
      <c r="K33" s="239">
        <v>-33</v>
      </c>
      <c r="L33" s="239">
        <v>-46.25</v>
      </c>
      <c r="M33" s="239">
        <v>-26.25</v>
      </c>
      <c r="N33" s="417">
        <v>-25.75</v>
      </c>
      <c r="O33" s="417">
        <v>-28</v>
      </c>
      <c r="P33" s="18"/>
      <c r="Q33" s="18"/>
      <c r="R33" s="18"/>
      <c r="S33" s="19"/>
      <c r="T33" s="19"/>
    </row>
    <row r="34" spans="1:20" ht="15" x14ac:dyDescent="0.25">
      <c r="A34" s="203" t="s">
        <v>29</v>
      </c>
      <c r="B34" s="235">
        <v>-31</v>
      </c>
      <c r="C34" s="235">
        <v>1</v>
      </c>
      <c r="D34" s="235">
        <v>-19</v>
      </c>
      <c r="E34" s="235">
        <v>1</v>
      </c>
      <c r="F34" s="236">
        <v>-4.25</v>
      </c>
      <c r="G34" s="237">
        <v>5</v>
      </c>
      <c r="H34" s="238">
        <v>9</v>
      </c>
      <c r="I34" s="237">
        <v>-9</v>
      </c>
      <c r="J34" s="236">
        <v>-14.75</v>
      </c>
      <c r="K34" s="239">
        <v>-12.25</v>
      </c>
      <c r="L34" s="239">
        <v>-28.25</v>
      </c>
      <c r="M34" s="239">
        <v>-17.25</v>
      </c>
      <c r="N34" s="417">
        <v>-41.75</v>
      </c>
      <c r="O34" s="417">
        <v>-5</v>
      </c>
      <c r="P34" s="18"/>
      <c r="Q34" s="18"/>
      <c r="R34" s="18"/>
      <c r="S34" s="19"/>
      <c r="T34" s="19"/>
    </row>
    <row r="35" spans="1:20" ht="21.75" customHeight="1" x14ac:dyDescent="0.25">
      <c r="A35" s="196" t="s">
        <v>151</v>
      </c>
      <c r="B35" s="188" t="s">
        <v>39</v>
      </c>
      <c r="C35" s="188" t="s">
        <v>39</v>
      </c>
      <c r="D35" s="188">
        <v>-13</v>
      </c>
      <c r="E35" s="188">
        <v>-9</v>
      </c>
      <c r="F35" s="189">
        <v>-5.75</v>
      </c>
      <c r="G35" s="192">
        <v>-7</v>
      </c>
      <c r="H35" s="191">
        <v>-12</v>
      </c>
      <c r="I35" s="240">
        <v>-18</v>
      </c>
      <c r="J35" s="189">
        <v>-20</v>
      </c>
      <c r="K35" s="234">
        <v>-7.5</v>
      </c>
      <c r="L35" s="234">
        <v>-23.75</v>
      </c>
      <c r="M35" s="234">
        <v>-23</v>
      </c>
      <c r="N35" s="416">
        <v>-21.5</v>
      </c>
      <c r="O35" s="416">
        <v>-17</v>
      </c>
      <c r="P35" s="18"/>
      <c r="Q35" s="18"/>
      <c r="R35" s="18"/>
      <c r="S35" s="19"/>
      <c r="T35" s="19"/>
    </row>
    <row r="36" spans="1:20" ht="15" x14ac:dyDescent="0.25">
      <c r="A36" s="203" t="s">
        <v>30</v>
      </c>
      <c r="B36" s="235">
        <v>-22</v>
      </c>
      <c r="C36" s="235">
        <v>2</v>
      </c>
      <c r="D36" s="235">
        <v>-1</v>
      </c>
      <c r="E36" s="235">
        <v>3</v>
      </c>
      <c r="F36" s="236">
        <v>6.5</v>
      </c>
      <c r="G36" s="237">
        <v>3</v>
      </c>
      <c r="H36" s="238">
        <v>-25</v>
      </c>
      <c r="I36" s="237">
        <v>-23</v>
      </c>
      <c r="J36" s="236">
        <v>-16</v>
      </c>
      <c r="K36" s="239">
        <v>-32</v>
      </c>
      <c r="L36" s="239">
        <v>-37</v>
      </c>
      <c r="M36" s="239">
        <v>-37</v>
      </c>
      <c r="N36" s="417">
        <v>-42</v>
      </c>
      <c r="O36" s="417">
        <v>-5</v>
      </c>
      <c r="P36" s="18"/>
      <c r="Q36" s="18"/>
      <c r="R36" s="18"/>
      <c r="S36" s="19"/>
      <c r="T36" s="19"/>
    </row>
    <row r="37" spans="1:20" ht="15" x14ac:dyDescent="0.25">
      <c r="A37" s="203" t="s">
        <v>31</v>
      </c>
      <c r="B37" s="235">
        <v>-55</v>
      </c>
      <c r="C37" s="235">
        <v>-9</v>
      </c>
      <c r="D37" s="235">
        <v>-11</v>
      </c>
      <c r="E37" s="235">
        <v>-33</v>
      </c>
      <c r="F37" s="236">
        <v>-23</v>
      </c>
      <c r="G37" s="237">
        <v>-11</v>
      </c>
      <c r="H37" s="238">
        <v>-26</v>
      </c>
      <c r="I37" s="237">
        <v>-29</v>
      </c>
      <c r="J37" s="236">
        <v>-56</v>
      </c>
      <c r="K37" s="239">
        <v>-48.75</v>
      </c>
      <c r="L37" s="239">
        <v>-42.25</v>
      </c>
      <c r="M37" s="239">
        <v>-44</v>
      </c>
      <c r="N37" s="417">
        <v>-38.25</v>
      </c>
      <c r="O37" s="417">
        <v>-27</v>
      </c>
      <c r="P37" s="18"/>
      <c r="Q37" s="18"/>
      <c r="R37" s="18"/>
      <c r="S37" s="19"/>
      <c r="T37" s="19"/>
    </row>
    <row r="38" spans="1:20" ht="15" x14ac:dyDescent="0.25">
      <c r="A38" s="208" t="s">
        <v>116</v>
      </c>
      <c r="B38" s="237"/>
      <c r="C38" s="237"/>
      <c r="D38" s="237"/>
      <c r="E38" s="237"/>
      <c r="F38" s="237"/>
      <c r="G38" s="237"/>
      <c r="H38" s="237"/>
      <c r="I38" s="237">
        <v>1</v>
      </c>
      <c r="J38" s="237">
        <v>-22</v>
      </c>
      <c r="K38" s="238">
        <v>-29.5</v>
      </c>
      <c r="L38" s="239">
        <v>-21.25</v>
      </c>
      <c r="M38" s="239">
        <v>-6.5</v>
      </c>
      <c r="N38" s="417">
        <v>-16.25</v>
      </c>
      <c r="O38" s="417">
        <v>-10</v>
      </c>
      <c r="P38" s="18"/>
      <c r="Q38" s="18"/>
      <c r="R38" s="18"/>
      <c r="S38" s="19"/>
      <c r="T38" s="19"/>
    </row>
    <row r="39" spans="1:20" ht="15" x14ac:dyDescent="0.25">
      <c r="A39" s="203" t="s">
        <v>32</v>
      </c>
      <c r="B39" s="235">
        <v>-27</v>
      </c>
      <c r="C39" s="235">
        <v>-4</v>
      </c>
      <c r="D39" s="235">
        <v>-6</v>
      </c>
      <c r="E39" s="235">
        <v>-2</v>
      </c>
      <c r="F39" s="236">
        <v>2</v>
      </c>
      <c r="G39" s="237">
        <v>-5</v>
      </c>
      <c r="H39" s="238">
        <v>-15</v>
      </c>
      <c r="I39" s="237">
        <v>-22</v>
      </c>
      <c r="J39" s="236">
        <v>-20</v>
      </c>
      <c r="K39" s="239">
        <v>4.5</v>
      </c>
      <c r="L39" s="239">
        <v>-25</v>
      </c>
      <c r="M39" s="239">
        <v>-22.25</v>
      </c>
      <c r="N39" s="417">
        <v>-20.25</v>
      </c>
      <c r="O39" s="417">
        <v>-15</v>
      </c>
      <c r="P39" s="18"/>
      <c r="Q39" s="18"/>
      <c r="R39" s="18"/>
      <c r="S39" s="19"/>
      <c r="T39" s="19"/>
    </row>
    <row r="40" spans="1:20" ht="15" x14ac:dyDescent="0.25">
      <c r="A40" s="203" t="s">
        <v>33</v>
      </c>
      <c r="B40" s="235">
        <v>-16</v>
      </c>
      <c r="C40" s="235">
        <v>-4</v>
      </c>
      <c r="D40" s="235">
        <v>-11</v>
      </c>
      <c r="E40" s="235">
        <v>-11</v>
      </c>
      <c r="F40" s="236">
        <v>-17</v>
      </c>
      <c r="G40" s="237">
        <v>-12</v>
      </c>
      <c r="H40" s="238">
        <v>-23</v>
      </c>
      <c r="I40" s="237">
        <v>-17</v>
      </c>
      <c r="J40" s="236">
        <v>-27</v>
      </c>
      <c r="K40" s="239">
        <v>-32.5</v>
      </c>
      <c r="L40" s="239">
        <v>-29.5</v>
      </c>
      <c r="M40" s="239">
        <v>-25</v>
      </c>
      <c r="N40" s="417">
        <v>-24.25</v>
      </c>
      <c r="O40" s="417">
        <v>-23</v>
      </c>
      <c r="P40" s="18"/>
      <c r="Q40" s="18"/>
      <c r="R40" s="18"/>
      <c r="S40" s="19"/>
      <c r="T40" s="19"/>
    </row>
    <row r="41" spans="1:20" ht="15" x14ac:dyDescent="0.25">
      <c r="A41" s="203" t="s">
        <v>34</v>
      </c>
      <c r="B41" s="235">
        <v>-32</v>
      </c>
      <c r="C41" s="235">
        <v>-8</v>
      </c>
      <c r="D41" s="235">
        <v>-32</v>
      </c>
      <c r="E41" s="235">
        <v>-24</v>
      </c>
      <c r="F41" s="236">
        <v>-16.25</v>
      </c>
      <c r="G41" s="237">
        <v>-12</v>
      </c>
      <c r="H41" s="238">
        <v>-17</v>
      </c>
      <c r="I41" s="237">
        <v>-15</v>
      </c>
      <c r="J41" s="236">
        <v>-24</v>
      </c>
      <c r="K41" s="239">
        <v>-24.25</v>
      </c>
      <c r="L41" s="239">
        <v>-21.75</v>
      </c>
      <c r="M41" s="239">
        <v>-32.5</v>
      </c>
      <c r="N41" s="417">
        <v>-27.25</v>
      </c>
      <c r="O41" s="417">
        <v>-27</v>
      </c>
      <c r="P41" s="18"/>
      <c r="Q41" s="18"/>
      <c r="R41" s="18"/>
      <c r="S41" s="19"/>
      <c r="T41" s="19"/>
    </row>
    <row r="42" spans="1:20" ht="15" x14ac:dyDescent="0.25">
      <c r="A42" s="203" t="s">
        <v>35</v>
      </c>
      <c r="B42" s="235">
        <v>-26</v>
      </c>
      <c r="C42" s="235">
        <v>9</v>
      </c>
      <c r="D42" s="235">
        <v>-9</v>
      </c>
      <c r="E42" s="235">
        <v>-3</v>
      </c>
      <c r="F42" s="236">
        <v>-4.5</v>
      </c>
      <c r="G42" s="237">
        <v>-7</v>
      </c>
      <c r="H42" s="238">
        <v>4</v>
      </c>
      <c r="I42" s="237">
        <v>-10</v>
      </c>
      <c r="J42" s="236">
        <v>-8</v>
      </c>
      <c r="K42" s="239">
        <v>-21.75</v>
      </c>
      <c r="L42" s="239">
        <v>-20.25</v>
      </c>
      <c r="M42" s="239">
        <v>-18.75</v>
      </c>
      <c r="N42" s="417">
        <v>-19.75</v>
      </c>
      <c r="O42" s="417">
        <v>-20</v>
      </c>
      <c r="P42" s="18"/>
      <c r="Q42" s="18"/>
      <c r="R42" s="18"/>
      <c r="S42" s="19"/>
      <c r="T42" s="19"/>
    </row>
    <row r="43" spans="1:20" ht="15" x14ac:dyDescent="0.25">
      <c r="A43" s="213" t="s">
        <v>117</v>
      </c>
      <c r="B43" s="238"/>
      <c r="C43" s="241"/>
      <c r="D43" s="238"/>
      <c r="E43" s="241"/>
      <c r="F43" s="238"/>
      <c r="G43" s="241"/>
      <c r="H43" s="238"/>
      <c r="I43" s="241">
        <v>2</v>
      </c>
      <c r="J43" s="238">
        <v>-11</v>
      </c>
      <c r="K43" s="238">
        <v>-11.25</v>
      </c>
      <c r="L43" s="239">
        <v>-17.25</v>
      </c>
      <c r="M43" s="239">
        <v>-38</v>
      </c>
      <c r="N43" s="417">
        <v>-26.25</v>
      </c>
      <c r="O43" s="417">
        <v>-18</v>
      </c>
      <c r="P43" s="18"/>
      <c r="Q43" s="18"/>
      <c r="R43" s="18"/>
      <c r="S43" s="19"/>
      <c r="T43" s="19"/>
    </row>
    <row r="44" spans="1:20" ht="21" customHeight="1" x14ac:dyDescent="0.25">
      <c r="A44" s="196" t="s">
        <v>113</v>
      </c>
      <c r="B44" s="188" t="s">
        <v>39</v>
      </c>
      <c r="C44" s="188" t="s">
        <v>39</v>
      </c>
      <c r="D44" s="188">
        <v>1</v>
      </c>
      <c r="E44" s="188">
        <v>0</v>
      </c>
      <c r="F44" s="189">
        <v>-1.75</v>
      </c>
      <c r="G44" s="192">
        <v>-1</v>
      </c>
      <c r="H44" s="191">
        <v>-1</v>
      </c>
      <c r="I44" s="192">
        <v>1</v>
      </c>
      <c r="J44" s="189">
        <v>-13.75</v>
      </c>
      <c r="K44" s="234">
        <v>-11.5</v>
      </c>
      <c r="L44" s="234">
        <v>-14.5</v>
      </c>
      <c r="M44" s="234">
        <v>-18.5</v>
      </c>
      <c r="N44" s="416">
        <v>-12.75</v>
      </c>
      <c r="O44" s="416">
        <v>-12</v>
      </c>
      <c r="P44" s="18"/>
      <c r="Q44" s="18"/>
      <c r="R44" s="18"/>
      <c r="S44" s="19"/>
      <c r="T44" s="19"/>
    </row>
    <row r="45" spans="1:20" ht="15" x14ac:dyDescent="0.25">
      <c r="A45" s="203" t="s">
        <v>36</v>
      </c>
      <c r="B45" s="235">
        <v>-26</v>
      </c>
      <c r="C45" s="235">
        <v>-7</v>
      </c>
      <c r="D45" s="235">
        <v>4</v>
      </c>
      <c r="E45" s="235">
        <v>3</v>
      </c>
      <c r="F45" s="236">
        <v>0</v>
      </c>
      <c r="G45" s="237">
        <v>1</v>
      </c>
      <c r="H45" s="238">
        <v>1</v>
      </c>
      <c r="I45" s="237">
        <v>2</v>
      </c>
      <c r="J45" s="236">
        <v>-42.75</v>
      </c>
      <c r="K45" s="239">
        <v>-21.5</v>
      </c>
      <c r="L45" s="239">
        <v>-42.25</v>
      </c>
      <c r="M45" s="239">
        <v>-28.25</v>
      </c>
      <c r="N45" s="417">
        <v>-28.75</v>
      </c>
      <c r="O45" s="417">
        <v>-17</v>
      </c>
      <c r="P45" s="18"/>
      <c r="Q45" s="18"/>
      <c r="R45" s="18"/>
      <c r="S45" s="19"/>
      <c r="T45" s="19"/>
    </row>
    <row r="46" spans="1:20" ht="15" x14ac:dyDescent="0.25">
      <c r="A46" s="203" t="s">
        <v>37</v>
      </c>
      <c r="B46" s="235">
        <v>-29</v>
      </c>
      <c r="C46" s="235">
        <v>-10</v>
      </c>
      <c r="D46" s="235">
        <v>13</v>
      </c>
      <c r="E46" s="235">
        <v>-12</v>
      </c>
      <c r="F46" s="236">
        <v>-26.25</v>
      </c>
      <c r="G46" s="237">
        <v>-7</v>
      </c>
      <c r="H46" s="238">
        <v>-29</v>
      </c>
      <c r="I46" s="237">
        <v>-22</v>
      </c>
      <c r="J46" s="236">
        <v>-13.25</v>
      </c>
      <c r="K46" s="239">
        <v>-1.75</v>
      </c>
      <c r="L46" s="239">
        <v>-22.666666666666668</v>
      </c>
      <c r="M46" s="239">
        <v>-39.5</v>
      </c>
      <c r="N46" s="417">
        <v>-14.25</v>
      </c>
      <c r="O46" s="417">
        <v>-33</v>
      </c>
      <c r="P46" s="18"/>
      <c r="Q46" s="18"/>
      <c r="R46" s="18"/>
      <c r="S46" s="19"/>
      <c r="T46" s="19"/>
    </row>
    <row r="47" spans="1:20" ht="20.25" x14ac:dyDescent="0.25">
      <c r="A47" s="203" t="s">
        <v>81</v>
      </c>
      <c r="B47" s="235">
        <v>-15</v>
      </c>
      <c r="C47" s="235">
        <v>-18</v>
      </c>
      <c r="D47" s="235">
        <v>-11</v>
      </c>
      <c r="E47" s="235">
        <v>-20</v>
      </c>
      <c r="F47" s="236">
        <v>-14</v>
      </c>
      <c r="G47" s="237">
        <v>-5</v>
      </c>
      <c r="H47" s="238">
        <v>-16</v>
      </c>
      <c r="I47" s="237">
        <v>-7</v>
      </c>
      <c r="J47" s="236">
        <v>-30</v>
      </c>
      <c r="K47" s="239">
        <v>-34.5</v>
      </c>
      <c r="L47" s="239">
        <v>-26.5</v>
      </c>
      <c r="M47" s="239">
        <v>-29.75</v>
      </c>
      <c r="N47" s="417">
        <v>-45.25</v>
      </c>
      <c r="O47" s="417">
        <v>-47</v>
      </c>
      <c r="P47" s="18"/>
      <c r="Q47" s="18"/>
      <c r="R47" s="18"/>
      <c r="S47" s="19"/>
      <c r="T47" s="19"/>
    </row>
    <row r="48" spans="1:20" ht="20.25" x14ac:dyDescent="0.25">
      <c r="A48" s="203" t="s">
        <v>82</v>
      </c>
      <c r="B48" s="235">
        <v>-50</v>
      </c>
      <c r="C48" s="235">
        <v>-23</v>
      </c>
      <c r="D48" s="235">
        <v>-8</v>
      </c>
      <c r="E48" s="235">
        <v>-6</v>
      </c>
      <c r="F48" s="236">
        <v>-9.5</v>
      </c>
      <c r="G48" s="237">
        <v>-14</v>
      </c>
      <c r="H48" s="238">
        <v>-11</v>
      </c>
      <c r="I48" s="237">
        <v>-5</v>
      </c>
      <c r="J48" s="236">
        <v>-28.25</v>
      </c>
      <c r="K48" s="239">
        <v>-28.75</v>
      </c>
      <c r="L48" s="239">
        <v>-29.25</v>
      </c>
      <c r="M48" s="239">
        <v>-22.75</v>
      </c>
      <c r="N48" s="417">
        <v>-20</v>
      </c>
      <c r="O48" s="417">
        <v>-15</v>
      </c>
      <c r="P48" s="18"/>
      <c r="Q48" s="18"/>
      <c r="R48" s="18"/>
      <c r="S48" s="19"/>
      <c r="T48" s="19"/>
    </row>
    <row r="49" spans="1:20" ht="20.25" x14ac:dyDescent="0.25">
      <c r="A49" s="203" t="s">
        <v>38</v>
      </c>
      <c r="B49" s="235">
        <v>-20</v>
      </c>
      <c r="C49" s="235">
        <v>-4</v>
      </c>
      <c r="D49" s="235">
        <v>3</v>
      </c>
      <c r="E49" s="235">
        <v>0</v>
      </c>
      <c r="F49" s="236">
        <v>-7.25</v>
      </c>
      <c r="G49" s="237">
        <v>-7</v>
      </c>
      <c r="H49" s="238">
        <v>-10</v>
      </c>
      <c r="I49" s="237">
        <v>-19</v>
      </c>
      <c r="J49" s="236">
        <v>-29.75</v>
      </c>
      <c r="K49" s="239">
        <v>-29.25</v>
      </c>
      <c r="L49" s="239">
        <v>-40</v>
      </c>
      <c r="M49" s="239">
        <v>-44.25</v>
      </c>
      <c r="N49" s="417">
        <v>-54</v>
      </c>
      <c r="O49" s="417">
        <v>-33</v>
      </c>
      <c r="P49" s="18"/>
      <c r="Q49" s="18"/>
      <c r="R49" s="18"/>
      <c r="S49" s="19"/>
      <c r="T49" s="19"/>
    </row>
    <row r="50" spans="1:20" ht="15" x14ac:dyDescent="0.25">
      <c r="A50" s="203" t="s">
        <v>93</v>
      </c>
      <c r="B50" s="235" t="s">
        <v>39</v>
      </c>
      <c r="C50" s="235" t="s">
        <v>39</v>
      </c>
      <c r="D50" s="235">
        <v>7</v>
      </c>
      <c r="E50" s="235">
        <v>-18</v>
      </c>
      <c r="F50" s="236">
        <v>-14.75</v>
      </c>
      <c r="G50" s="237">
        <v>-8</v>
      </c>
      <c r="H50" s="238">
        <v>-15</v>
      </c>
      <c r="I50" s="237">
        <v>-20</v>
      </c>
      <c r="J50" s="236">
        <v>-13</v>
      </c>
      <c r="K50" s="239">
        <v>-9</v>
      </c>
      <c r="L50" s="239">
        <v>-37</v>
      </c>
      <c r="M50" s="239">
        <v>-58.25</v>
      </c>
      <c r="N50" s="417">
        <v>-7.75</v>
      </c>
      <c r="O50" s="417">
        <v>1</v>
      </c>
      <c r="P50" s="18"/>
      <c r="Q50" s="18"/>
      <c r="R50" s="18"/>
      <c r="S50" s="19"/>
      <c r="T50" s="19"/>
    </row>
    <row r="51" spans="1:20" ht="15" x14ac:dyDescent="0.25">
      <c r="A51" s="203" t="s">
        <v>40</v>
      </c>
      <c r="B51" s="235">
        <v>8</v>
      </c>
      <c r="C51" s="235">
        <v>-8</v>
      </c>
      <c r="D51" s="235">
        <v>-5</v>
      </c>
      <c r="E51" s="235">
        <v>-8</v>
      </c>
      <c r="F51" s="236">
        <v>-2</v>
      </c>
      <c r="G51" s="237">
        <v>-3</v>
      </c>
      <c r="H51" s="238">
        <v>2</v>
      </c>
      <c r="I51" s="237">
        <v>1</v>
      </c>
      <c r="J51" s="236">
        <v>-3.25</v>
      </c>
      <c r="K51" s="239">
        <v>-2.25</v>
      </c>
      <c r="L51" s="239">
        <v>0.75</v>
      </c>
      <c r="M51" s="239">
        <v>0.5</v>
      </c>
      <c r="N51" s="417">
        <v>-0.75</v>
      </c>
      <c r="O51" s="417">
        <v>1</v>
      </c>
      <c r="P51" s="18"/>
      <c r="Q51" s="18"/>
      <c r="R51" s="18"/>
      <c r="S51" s="19"/>
      <c r="T51" s="19"/>
    </row>
    <row r="52" spans="1:20" ht="23.25" customHeight="1" x14ac:dyDescent="0.25">
      <c r="A52" s="196" t="s">
        <v>114</v>
      </c>
      <c r="B52" s="188">
        <v>-21</v>
      </c>
      <c r="C52" s="188">
        <v>-8</v>
      </c>
      <c r="D52" s="188">
        <v>-13</v>
      </c>
      <c r="E52" s="188">
        <v>-8</v>
      </c>
      <c r="F52" s="189">
        <v>-5.75</v>
      </c>
      <c r="G52" s="192">
        <v>-3</v>
      </c>
      <c r="H52" s="191">
        <v>-7</v>
      </c>
      <c r="I52" s="192">
        <v>-7</v>
      </c>
      <c r="J52" s="189">
        <v>-18.25</v>
      </c>
      <c r="K52" s="234">
        <v>-19.75</v>
      </c>
      <c r="L52" s="234">
        <v>-18</v>
      </c>
      <c r="M52" s="234">
        <v>-17.25</v>
      </c>
      <c r="N52" s="416">
        <v>-22.25</v>
      </c>
      <c r="O52" s="416">
        <v>-14</v>
      </c>
      <c r="P52" s="18"/>
      <c r="Q52" s="18"/>
      <c r="R52" s="18"/>
      <c r="S52" s="19"/>
      <c r="T52" s="19"/>
    </row>
    <row r="53" spans="1:20" ht="15" x14ac:dyDescent="0.25">
      <c r="A53" s="203" t="s">
        <v>41</v>
      </c>
      <c r="B53" s="235">
        <v>-7</v>
      </c>
      <c r="C53" s="235">
        <v>4</v>
      </c>
      <c r="D53" s="235">
        <v>-9</v>
      </c>
      <c r="E53" s="235">
        <v>1</v>
      </c>
      <c r="F53" s="236">
        <v>-0.75</v>
      </c>
      <c r="G53" s="237">
        <v>-5</v>
      </c>
      <c r="H53" s="238">
        <v>-14</v>
      </c>
      <c r="I53" s="237">
        <v>-13</v>
      </c>
      <c r="J53" s="236">
        <v>-13</v>
      </c>
      <c r="K53" s="239">
        <v>-10.25</v>
      </c>
      <c r="L53" s="239">
        <v>-12</v>
      </c>
      <c r="M53" s="239">
        <v>-10.25</v>
      </c>
      <c r="N53" s="417">
        <v>-16</v>
      </c>
      <c r="O53" s="417">
        <v>-8</v>
      </c>
      <c r="P53" s="18"/>
      <c r="Q53" s="18"/>
      <c r="R53" s="18"/>
      <c r="S53" s="19"/>
      <c r="T53" s="19"/>
    </row>
    <row r="54" spans="1:20" ht="15" x14ac:dyDescent="0.25">
      <c r="A54" s="203" t="s">
        <v>42</v>
      </c>
      <c r="B54" s="235">
        <v>-21</v>
      </c>
      <c r="C54" s="235">
        <v>-27</v>
      </c>
      <c r="D54" s="235">
        <v>-20</v>
      </c>
      <c r="E54" s="235">
        <v>-13</v>
      </c>
      <c r="F54" s="236">
        <v>-14.5</v>
      </c>
      <c r="G54" s="237">
        <v>-14</v>
      </c>
      <c r="H54" s="238">
        <v>-6</v>
      </c>
      <c r="I54" s="237">
        <v>-13</v>
      </c>
      <c r="J54" s="236">
        <v>-25.25</v>
      </c>
      <c r="K54" s="239">
        <v>-10.5</v>
      </c>
      <c r="L54" s="239">
        <v>-27</v>
      </c>
      <c r="M54" s="239">
        <v>-34</v>
      </c>
      <c r="N54" s="417">
        <v>-19.75</v>
      </c>
      <c r="O54" s="417">
        <v>-14</v>
      </c>
      <c r="P54" s="18"/>
      <c r="Q54" s="18"/>
      <c r="R54" s="18"/>
      <c r="S54" s="19"/>
      <c r="T54" s="19"/>
    </row>
    <row r="55" spans="1:20" ht="15" x14ac:dyDescent="0.25">
      <c r="A55" s="203" t="s">
        <v>43</v>
      </c>
      <c r="B55" s="235">
        <v>-7</v>
      </c>
      <c r="C55" s="235">
        <v>-15</v>
      </c>
      <c r="D55" s="235">
        <v>-12</v>
      </c>
      <c r="E55" s="235">
        <v>-9</v>
      </c>
      <c r="F55" s="236">
        <v>-7.5</v>
      </c>
      <c r="G55" s="237">
        <v>0</v>
      </c>
      <c r="H55" s="238">
        <v>-8</v>
      </c>
      <c r="I55" s="237">
        <v>-2</v>
      </c>
      <c r="J55" s="236">
        <v>-23</v>
      </c>
      <c r="K55" s="239">
        <v>-38.25</v>
      </c>
      <c r="L55" s="239">
        <v>-34.75</v>
      </c>
      <c r="M55" s="239">
        <v>-34.75</v>
      </c>
      <c r="N55" s="417">
        <v>-36.5</v>
      </c>
      <c r="O55" s="417">
        <v>-31</v>
      </c>
      <c r="P55" s="18"/>
      <c r="Q55" s="18"/>
      <c r="R55" s="18"/>
      <c r="S55" s="19"/>
      <c r="T55" s="19"/>
    </row>
    <row r="56" spans="1:20" ht="15" x14ac:dyDescent="0.25">
      <c r="A56" s="203" t="s">
        <v>44</v>
      </c>
      <c r="B56" s="235">
        <v>2</v>
      </c>
      <c r="C56" s="235">
        <v>-3</v>
      </c>
      <c r="D56" s="235">
        <v>3</v>
      </c>
      <c r="E56" s="235">
        <v>-3</v>
      </c>
      <c r="F56" s="236">
        <v>6.25</v>
      </c>
      <c r="G56" s="237">
        <v>14</v>
      </c>
      <c r="H56" s="238">
        <v>9</v>
      </c>
      <c r="I56" s="237">
        <v>4</v>
      </c>
      <c r="J56" s="236">
        <v>-16.75</v>
      </c>
      <c r="K56" s="239">
        <v>-18</v>
      </c>
      <c r="L56" s="239">
        <v>-12.75</v>
      </c>
      <c r="M56" s="239">
        <v>-10.5</v>
      </c>
      <c r="N56" s="417">
        <v>-14.25</v>
      </c>
      <c r="O56" s="417">
        <v>-6</v>
      </c>
      <c r="P56" s="18"/>
      <c r="Q56" s="18"/>
      <c r="R56" s="18"/>
      <c r="S56" s="19"/>
      <c r="T56" s="19"/>
    </row>
    <row r="57" spans="1:20" ht="15" x14ac:dyDescent="0.25">
      <c r="A57" s="203" t="s">
        <v>45</v>
      </c>
      <c r="B57" s="235">
        <v>-12</v>
      </c>
      <c r="C57" s="235">
        <v>-6</v>
      </c>
      <c r="D57" s="235">
        <v>-13</v>
      </c>
      <c r="E57" s="235">
        <v>-2</v>
      </c>
      <c r="F57" s="236">
        <v>-9.25</v>
      </c>
      <c r="G57" s="237">
        <v>-5</v>
      </c>
      <c r="H57" s="238">
        <v>-1</v>
      </c>
      <c r="I57" s="237">
        <v>-9</v>
      </c>
      <c r="J57" s="236">
        <v>-23.25</v>
      </c>
      <c r="K57" s="239">
        <v>-19.75</v>
      </c>
      <c r="L57" s="239">
        <v>-29.5</v>
      </c>
      <c r="M57" s="239">
        <v>-41.75</v>
      </c>
      <c r="N57" s="417">
        <v>-46.25</v>
      </c>
      <c r="O57" s="417">
        <v>-19</v>
      </c>
      <c r="P57" s="18"/>
      <c r="Q57" s="18"/>
      <c r="R57" s="18"/>
      <c r="S57" s="19"/>
      <c r="T57" s="19"/>
    </row>
    <row r="58" spans="1:20" ht="15" x14ac:dyDescent="0.25">
      <c r="A58" s="203" t="s">
        <v>46</v>
      </c>
      <c r="B58" s="235">
        <v>-26</v>
      </c>
      <c r="C58" s="235">
        <v>-6</v>
      </c>
      <c r="D58" s="235">
        <v>-29</v>
      </c>
      <c r="E58" s="235">
        <v>-18</v>
      </c>
      <c r="F58" s="236">
        <v>-18</v>
      </c>
      <c r="G58" s="237">
        <v>-13</v>
      </c>
      <c r="H58" s="238">
        <v>-18</v>
      </c>
      <c r="I58" s="237">
        <v>-9</v>
      </c>
      <c r="J58" s="236">
        <v>-29.5</v>
      </c>
      <c r="K58" s="239">
        <v>-24</v>
      </c>
      <c r="L58" s="239">
        <v>-27.25</v>
      </c>
      <c r="M58" s="239">
        <v>-27.5</v>
      </c>
      <c r="N58" s="417">
        <v>-20.75</v>
      </c>
      <c r="O58" s="417">
        <v>-14</v>
      </c>
      <c r="P58" s="18"/>
      <c r="Q58" s="18"/>
      <c r="R58" s="18"/>
      <c r="S58" s="19"/>
      <c r="T58" s="19"/>
    </row>
    <row r="59" spans="1:20" ht="15" x14ac:dyDescent="0.25">
      <c r="A59" s="203" t="s">
        <v>47</v>
      </c>
      <c r="B59" s="235">
        <v>-14</v>
      </c>
      <c r="C59" s="235">
        <v>-19</v>
      </c>
      <c r="D59" s="235">
        <v>-9</v>
      </c>
      <c r="E59" s="235">
        <v>-10</v>
      </c>
      <c r="F59" s="236">
        <v>-3</v>
      </c>
      <c r="G59" s="237">
        <v>-2</v>
      </c>
      <c r="H59" s="238">
        <v>0</v>
      </c>
      <c r="I59" s="237">
        <v>-11</v>
      </c>
      <c r="J59" s="236">
        <v>-22.5</v>
      </c>
      <c r="K59" s="239">
        <v>-25.5</v>
      </c>
      <c r="L59" s="239">
        <v>-16.25</v>
      </c>
      <c r="M59" s="239">
        <v>-16</v>
      </c>
      <c r="N59" s="417">
        <v>-29.75</v>
      </c>
      <c r="O59" s="417">
        <v>-25</v>
      </c>
      <c r="P59" s="18"/>
      <c r="Q59" s="18"/>
      <c r="R59" s="18"/>
      <c r="S59" s="19"/>
      <c r="T59" s="19"/>
    </row>
    <row r="60" spans="1:20" ht="15" x14ac:dyDescent="0.25">
      <c r="A60" s="203" t="s">
        <v>48</v>
      </c>
      <c r="B60" s="235">
        <v>-25</v>
      </c>
      <c r="C60" s="235">
        <v>-9</v>
      </c>
      <c r="D60" s="235">
        <v>-21</v>
      </c>
      <c r="E60" s="235">
        <v>-12</v>
      </c>
      <c r="F60" s="236">
        <v>-17</v>
      </c>
      <c r="G60" s="237">
        <v>-10</v>
      </c>
      <c r="H60" s="238">
        <v>-18</v>
      </c>
      <c r="I60" s="237">
        <v>-10</v>
      </c>
      <c r="J60" s="236">
        <v>-19</v>
      </c>
      <c r="K60" s="239">
        <v>-20.5</v>
      </c>
      <c r="L60" s="239">
        <v>-20.25</v>
      </c>
      <c r="M60" s="239">
        <v>-13.25</v>
      </c>
      <c r="N60" s="417">
        <v>-25</v>
      </c>
      <c r="O60" s="417">
        <v>-15</v>
      </c>
      <c r="P60" s="18"/>
      <c r="Q60" s="18"/>
      <c r="R60" s="18"/>
      <c r="S60" s="19"/>
      <c r="T60" s="19"/>
    </row>
    <row r="61" spans="1:20" ht="15" x14ac:dyDescent="0.25">
      <c r="A61" s="203" t="s">
        <v>49</v>
      </c>
      <c r="B61" s="235">
        <v>-34</v>
      </c>
      <c r="C61" s="235">
        <v>-12</v>
      </c>
      <c r="D61" s="235">
        <v>-23</v>
      </c>
      <c r="E61" s="235">
        <v>-12</v>
      </c>
      <c r="F61" s="236">
        <v>-16.5</v>
      </c>
      <c r="G61" s="237">
        <v>-5</v>
      </c>
      <c r="H61" s="238">
        <v>-14</v>
      </c>
      <c r="I61" s="237">
        <v>-6</v>
      </c>
      <c r="J61" s="236">
        <v>-26.5</v>
      </c>
      <c r="K61" s="239">
        <v>-23.75</v>
      </c>
      <c r="L61" s="239">
        <v>-16.25</v>
      </c>
      <c r="M61" s="239">
        <v>-8</v>
      </c>
      <c r="N61" s="417">
        <v>-4.25</v>
      </c>
      <c r="O61" s="417">
        <v>-6</v>
      </c>
      <c r="P61" s="18"/>
      <c r="Q61" s="18"/>
      <c r="R61" s="18"/>
      <c r="S61" s="19"/>
      <c r="T61" s="19"/>
    </row>
    <row r="62" spans="1:20" ht="15" x14ac:dyDescent="0.25">
      <c r="A62" s="203" t="s">
        <v>50</v>
      </c>
      <c r="B62" s="235">
        <v>-23</v>
      </c>
      <c r="C62" s="235">
        <v>-15</v>
      </c>
      <c r="D62" s="235">
        <v>-10</v>
      </c>
      <c r="E62" s="235">
        <v>-3</v>
      </c>
      <c r="F62" s="236">
        <v>-4</v>
      </c>
      <c r="G62" s="237">
        <v>-11</v>
      </c>
      <c r="H62" s="238">
        <v>-12</v>
      </c>
      <c r="I62" s="237">
        <v>-12</v>
      </c>
      <c r="J62" s="236">
        <v>-6.5</v>
      </c>
      <c r="K62" s="239">
        <v>-30.75</v>
      </c>
      <c r="L62" s="239">
        <v>-32.25</v>
      </c>
      <c r="M62" s="239">
        <v>-23.5</v>
      </c>
      <c r="N62" s="417">
        <v>-32.25</v>
      </c>
      <c r="O62" s="417">
        <v>-38</v>
      </c>
      <c r="P62" s="18"/>
      <c r="Q62" s="18"/>
      <c r="R62" s="18"/>
      <c r="S62" s="19"/>
      <c r="T62" s="19"/>
    </row>
    <row r="63" spans="1:20" ht="15" x14ac:dyDescent="0.25">
      <c r="A63" s="203" t="s">
        <v>51</v>
      </c>
      <c r="B63" s="235">
        <v>-28</v>
      </c>
      <c r="C63" s="235">
        <v>-25</v>
      </c>
      <c r="D63" s="235">
        <v>-31</v>
      </c>
      <c r="E63" s="235">
        <v>-22</v>
      </c>
      <c r="F63" s="236">
        <v>-16.25</v>
      </c>
      <c r="G63" s="237">
        <v>-17</v>
      </c>
      <c r="H63" s="238">
        <v>-11</v>
      </c>
      <c r="I63" s="237">
        <v>-10</v>
      </c>
      <c r="J63" s="236">
        <v>-31.5</v>
      </c>
      <c r="K63" s="239">
        <v>-26</v>
      </c>
      <c r="L63" s="239">
        <v>-30.75</v>
      </c>
      <c r="M63" s="239">
        <v>-28.75</v>
      </c>
      <c r="N63" s="417">
        <v>-27.75</v>
      </c>
      <c r="O63" s="417">
        <v>-37</v>
      </c>
      <c r="P63" s="18"/>
      <c r="Q63" s="18"/>
      <c r="R63" s="18"/>
      <c r="S63" s="19"/>
      <c r="T63" s="19"/>
    </row>
    <row r="64" spans="1:20" ht="15" x14ac:dyDescent="0.25">
      <c r="A64" s="203" t="s">
        <v>52</v>
      </c>
      <c r="B64" s="235">
        <v>-47</v>
      </c>
      <c r="C64" s="235">
        <v>-15</v>
      </c>
      <c r="D64" s="235">
        <v>-10</v>
      </c>
      <c r="E64" s="235">
        <v>-5</v>
      </c>
      <c r="F64" s="236">
        <v>-4.5</v>
      </c>
      <c r="G64" s="237">
        <v>-1</v>
      </c>
      <c r="H64" s="238">
        <v>2</v>
      </c>
      <c r="I64" s="237">
        <v>-5</v>
      </c>
      <c r="J64" s="236">
        <v>-1</v>
      </c>
      <c r="K64" s="239">
        <v>-11.5</v>
      </c>
      <c r="L64" s="239">
        <v>-11</v>
      </c>
      <c r="M64" s="239">
        <v>-20.5</v>
      </c>
      <c r="N64" s="417">
        <v>-35.25</v>
      </c>
      <c r="O64" s="417">
        <v>-10</v>
      </c>
      <c r="P64" s="18"/>
      <c r="Q64" s="18"/>
      <c r="R64" s="18"/>
      <c r="S64" s="19"/>
      <c r="T64" s="19"/>
    </row>
    <row r="65" spans="1:20" ht="15" x14ac:dyDescent="0.25">
      <c r="A65" s="203" t="s">
        <v>53</v>
      </c>
      <c r="B65" s="235">
        <v>-34</v>
      </c>
      <c r="C65" s="235">
        <v>-4</v>
      </c>
      <c r="D65" s="235">
        <v>-14</v>
      </c>
      <c r="E65" s="235">
        <v>-11</v>
      </c>
      <c r="F65" s="236">
        <v>-5.75</v>
      </c>
      <c r="G65" s="237">
        <v>-3</v>
      </c>
      <c r="H65" s="238">
        <v>-12</v>
      </c>
      <c r="I65" s="237">
        <v>-13</v>
      </c>
      <c r="J65" s="236">
        <v>-21</v>
      </c>
      <c r="K65" s="239">
        <v>-18</v>
      </c>
      <c r="L65" s="239">
        <v>-15.75</v>
      </c>
      <c r="M65" s="239">
        <v>-10.25</v>
      </c>
      <c r="N65" s="417">
        <v>-18</v>
      </c>
      <c r="O65" s="417">
        <v>-17</v>
      </c>
      <c r="P65" s="18"/>
      <c r="Q65" s="18"/>
      <c r="R65" s="18"/>
      <c r="S65" s="19"/>
      <c r="T65" s="19"/>
    </row>
    <row r="66" spans="1:20" ht="15" x14ac:dyDescent="0.25">
      <c r="A66" s="203" t="s">
        <v>54</v>
      </c>
      <c r="B66" s="235">
        <v>-21</v>
      </c>
      <c r="C66" s="235">
        <v>-29</v>
      </c>
      <c r="D66" s="235">
        <v>-31</v>
      </c>
      <c r="E66" s="235">
        <v>-26</v>
      </c>
      <c r="F66" s="236">
        <v>-22.75</v>
      </c>
      <c r="G66" s="237">
        <v>-16</v>
      </c>
      <c r="H66" s="238">
        <v>-25</v>
      </c>
      <c r="I66" s="237">
        <v>-13</v>
      </c>
      <c r="J66" s="236">
        <v>-30.5</v>
      </c>
      <c r="K66" s="239">
        <v>-40</v>
      </c>
      <c r="L66" s="239">
        <v>-38.5</v>
      </c>
      <c r="M66" s="239">
        <v>-39</v>
      </c>
      <c r="N66" s="417">
        <v>-34</v>
      </c>
      <c r="O66" s="417">
        <v>-27</v>
      </c>
      <c r="P66" s="18"/>
      <c r="Q66" s="18"/>
      <c r="R66" s="18"/>
      <c r="S66" s="19"/>
      <c r="T66" s="19"/>
    </row>
    <row r="67" spans="1:20" ht="22.5" customHeight="1" x14ac:dyDescent="0.25">
      <c r="A67" s="196" t="s">
        <v>115</v>
      </c>
      <c r="B67" s="188">
        <v>-28</v>
      </c>
      <c r="C67" s="188">
        <v>-1</v>
      </c>
      <c r="D67" s="188">
        <v>-9</v>
      </c>
      <c r="E67" s="188">
        <v>-3</v>
      </c>
      <c r="F67" s="189">
        <v>-2.5</v>
      </c>
      <c r="G67" s="192">
        <v>-2</v>
      </c>
      <c r="H67" s="191">
        <v>-2</v>
      </c>
      <c r="I67" s="192">
        <v>-6</v>
      </c>
      <c r="J67" s="189">
        <v>-8.25</v>
      </c>
      <c r="K67" s="234">
        <v>-11</v>
      </c>
      <c r="L67" s="234">
        <v>-7.25</v>
      </c>
      <c r="M67" s="188">
        <v>-4</v>
      </c>
      <c r="N67" s="485">
        <v>-15.25</v>
      </c>
      <c r="O67" s="485">
        <v>-10</v>
      </c>
      <c r="P67" s="18"/>
      <c r="Q67" s="18"/>
      <c r="R67" s="18"/>
      <c r="S67" s="19"/>
      <c r="T67" s="19"/>
    </row>
    <row r="68" spans="1:20" ht="15" x14ac:dyDescent="0.25">
      <c r="A68" s="203" t="s">
        <v>55</v>
      </c>
      <c r="B68" s="235">
        <v>-31</v>
      </c>
      <c r="C68" s="235">
        <v>-24</v>
      </c>
      <c r="D68" s="235">
        <v>-26</v>
      </c>
      <c r="E68" s="235">
        <v>-14</v>
      </c>
      <c r="F68" s="236">
        <v>-17.5</v>
      </c>
      <c r="G68" s="237">
        <v>-19</v>
      </c>
      <c r="H68" s="238">
        <v>-18</v>
      </c>
      <c r="I68" s="237">
        <v>-17</v>
      </c>
      <c r="J68" s="236">
        <v>-38.75</v>
      </c>
      <c r="K68" s="239">
        <v>-26.25</v>
      </c>
      <c r="L68" s="239">
        <v>-21.5</v>
      </c>
      <c r="M68" s="239">
        <v>-26.25</v>
      </c>
      <c r="N68" s="417">
        <v>-23</v>
      </c>
      <c r="O68" s="417">
        <v>-20</v>
      </c>
      <c r="P68" s="18"/>
      <c r="Q68" s="18"/>
      <c r="R68" s="18"/>
      <c r="S68" s="19"/>
      <c r="T68" s="19"/>
    </row>
    <row r="69" spans="1:20" ht="15" x14ac:dyDescent="0.25">
      <c r="A69" s="203" t="s">
        <v>56</v>
      </c>
      <c r="B69" s="235">
        <v>-35</v>
      </c>
      <c r="C69" s="235">
        <v>-1</v>
      </c>
      <c r="D69" s="235">
        <v>-8</v>
      </c>
      <c r="E69" s="235">
        <v>-8</v>
      </c>
      <c r="F69" s="236">
        <v>-5.25</v>
      </c>
      <c r="G69" s="237">
        <v>-6</v>
      </c>
      <c r="H69" s="238">
        <v>-4</v>
      </c>
      <c r="I69" s="237">
        <v>-5</v>
      </c>
      <c r="J69" s="236">
        <v>-24.25</v>
      </c>
      <c r="K69" s="239">
        <v>-22</v>
      </c>
      <c r="L69" s="239">
        <v>-21</v>
      </c>
      <c r="M69" s="239">
        <v>-8</v>
      </c>
      <c r="N69" s="417">
        <v>-32.75</v>
      </c>
      <c r="O69" s="417">
        <v>-17</v>
      </c>
      <c r="P69" s="18"/>
      <c r="Q69" s="18"/>
      <c r="R69" s="18"/>
      <c r="S69" s="19"/>
      <c r="T69" s="19"/>
    </row>
    <row r="70" spans="1:20" ht="15" x14ac:dyDescent="0.25">
      <c r="A70" s="203" t="s">
        <v>57</v>
      </c>
      <c r="B70" s="235">
        <v>-31</v>
      </c>
      <c r="C70" s="235">
        <v>0</v>
      </c>
      <c r="D70" s="235">
        <v>-2</v>
      </c>
      <c r="E70" s="235">
        <v>7</v>
      </c>
      <c r="F70" s="236">
        <v>1.75</v>
      </c>
      <c r="G70" s="237">
        <v>5</v>
      </c>
      <c r="H70" s="238">
        <v>3</v>
      </c>
      <c r="I70" s="237">
        <v>-4</v>
      </c>
      <c r="J70" s="236">
        <v>-1</v>
      </c>
      <c r="K70" s="239">
        <v>3</v>
      </c>
      <c r="L70" s="239">
        <v>2.6666666666666665</v>
      </c>
      <c r="M70" s="239">
        <v>2.5</v>
      </c>
      <c r="N70" s="417">
        <v>-1.5</v>
      </c>
      <c r="O70" s="417">
        <v>2</v>
      </c>
      <c r="P70" s="18"/>
      <c r="Q70" s="18"/>
      <c r="R70" s="18"/>
      <c r="S70" s="19"/>
      <c r="T70" s="19"/>
    </row>
    <row r="71" spans="1:20" ht="15" x14ac:dyDescent="0.25">
      <c r="A71" s="203" t="s">
        <v>60</v>
      </c>
      <c r="B71" s="235">
        <v>-16</v>
      </c>
      <c r="C71" s="235">
        <v>5</v>
      </c>
      <c r="D71" s="235">
        <v>-23</v>
      </c>
      <c r="E71" s="235">
        <v>-17</v>
      </c>
      <c r="F71" s="236">
        <v>-5.5</v>
      </c>
      <c r="G71" s="237">
        <v>-10</v>
      </c>
      <c r="H71" s="238">
        <v>-13</v>
      </c>
      <c r="I71" s="237">
        <v>-11</v>
      </c>
      <c r="J71" s="236">
        <v>-19</v>
      </c>
      <c r="K71" s="239">
        <v>-27.75</v>
      </c>
      <c r="L71" s="239">
        <v>-16.25</v>
      </c>
      <c r="M71" s="239">
        <v>-15.25</v>
      </c>
      <c r="N71" s="417">
        <v>-29.5</v>
      </c>
      <c r="O71" s="417">
        <v>-32</v>
      </c>
      <c r="P71" s="18"/>
      <c r="Q71" s="18"/>
      <c r="R71" s="18"/>
      <c r="S71" s="19"/>
      <c r="T71" s="19"/>
    </row>
    <row r="72" spans="1:20" ht="21.75" customHeight="1" x14ac:dyDescent="0.25">
      <c r="A72" s="196" t="s">
        <v>122</v>
      </c>
      <c r="B72" s="188">
        <v>-25</v>
      </c>
      <c r="C72" s="188">
        <v>-6</v>
      </c>
      <c r="D72" s="188">
        <v>-17</v>
      </c>
      <c r="E72" s="188">
        <v>-11</v>
      </c>
      <c r="F72" s="189">
        <v>-10.25</v>
      </c>
      <c r="G72" s="192">
        <v>-11</v>
      </c>
      <c r="H72" s="191">
        <v>-13</v>
      </c>
      <c r="I72" s="192">
        <v>-16</v>
      </c>
      <c r="J72" s="189">
        <v>-19.25</v>
      </c>
      <c r="K72" s="234">
        <v>-24</v>
      </c>
      <c r="L72" s="234">
        <v>-20</v>
      </c>
      <c r="M72" s="234">
        <v>-22</v>
      </c>
      <c r="N72" s="416">
        <v>-20.25</v>
      </c>
      <c r="O72" s="416">
        <v>-16</v>
      </c>
      <c r="P72" s="18"/>
      <c r="Q72" s="18"/>
      <c r="R72" s="18"/>
      <c r="S72" s="19"/>
      <c r="T72" s="19"/>
    </row>
    <row r="73" spans="1:20" ht="15" x14ac:dyDescent="0.25">
      <c r="A73" s="203" t="s">
        <v>61</v>
      </c>
      <c r="B73" s="235">
        <v>-37</v>
      </c>
      <c r="C73" s="235">
        <v>-14</v>
      </c>
      <c r="D73" s="235">
        <v>-31</v>
      </c>
      <c r="E73" s="235">
        <v>-17</v>
      </c>
      <c r="F73" s="236">
        <v>-31</v>
      </c>
      <c r="G73" s="237">
        <v>-11</v>
      </c>
      <c r="H73" s="238">
        <v>-21</v>
      </c>
      <c r="I73" s="237">
        <v>-32</v>
      </c>
      <c r="J73" s="236">
        <v>-38</v>
      </c>
      <c r="K73" s="239">
        <v>-43.5</v>
      </c>
      <c r="L73" s="239">
        <v>-48.75</v>
      </c>
      <c r="M73" s="239">
        <v>-40.25</v>
      </c>
      <c r="N73" s="417">
        <v>-49.75</v>
      </c>
      <c r="O73" s="417">
        <v>-37</v>
      </c>
      <c r="P73" s="18"/>
      <c r="Q73" s="18"/>
      <c r="R73" s="18"/>
      <c r="S73" s="19"/>
      <c r="T73" s="19"/>
    </row>
    <row r="74" spans="1:20" ht="15" x14ac:dyDescent="0.25">
      <c r="A74" s="203" t="s">
        <v>63</v>
      </c>
      <c r="B74" s="235">
        <v>-44</v>
      </c>
      <c r="C74" s="235">
        <v>-19</v>
      </c>
      <c r="D74" s="235">
        <v>0</v>
      </c>
      <c r="E74" s="235">
        <v>-7</v>
      </c>
      <c r="F74" s="236">
        <v>-5.25</v>
      </c>
      <c r="G74" s="237">
        <v>-3</v>
      </c>
      <c r="H74" s="238">
        <v>-19</v>
      </c>
      <c r="I74" s="237">
        <v>-3</v>
      </c>
      <c r="J74" s="236">
        <v>-31.75</v>
      </c>
      <c r="K74" s="239">
        <v>-36.5</v>
      </c>
      <c r="L74" s="239">
        <v>-20.5</v>
      </c>
      <c r="M74" s="239">
        <v>-17</v>
      </c>
      <c r="N74" s="417">
        <v>2.5</v>
      </c>
      <c r="O74" s="417">
        <v>26</v>
      </c>
      <c r="P74" s="18"/>
      <c r="Q74" s="18"/>
      <c r="R74" s="18"/>
      <c r="S74" s="19"/>
      <c r="T74" s="19"/>
    </row>
    <row r="75" spans="1:20" ht="15" x14ac:dyDescent="0.25">
      <c r="A75" s="203" t="s">
        <v>64</v>
      </c>
      <c r="B75" s="235">
        <v>-11</v>
      </c>
      <c r="C75" s="235">
        <v>-6</v>
      </c>
      <c r="D75" s="235">
        <v>-7</v>
      </c>
      <c r="E75" s="235">
        <v>-13</v>
      </c>
      <c r="F75" s="236">
        <v>-6.5</v>
      </c>
      <c r="G75" s="237">
        <v>-9</v>
      </c>
      <c r="H75" s="238">
        <v>-15</v>
      </c>
      <c r="I75" s="237">
        <v>-4</v>
      </c>
      <c r="J75" s="236">
        <v>-10.25</v>
      </c>
      <c r="K75" s="239">
        <v>-27</v>
      </c>
      <c r="L75" s="239">
        <v>-7.25</v>
      </c>
      <c r="M75" s="239">
        <v>-7.5</v>
      </c>
      <c r="N75" s="417">
        <v>5</v>
      </c>
      <c r="O75" s="417">
        <v>4</v>
      </c>
      <c r="P75" s="18"/>
      <c r="Q75" s="18"/>
      <c r="R75" s="18"/>
      <c r="S75" s="19"/>
      <c r="T75" s="19"/>
    </row>
    <row r="76" spans="1:20" ht="15" x14ac:dyDescent="0.25">
      <c r="A76" s="203" t="s">
        <v>65</v>
      </c>
      <c r="B76" s="235">
        <v>-29</v>
      </c>
      <c r="C76" s="235">
        <v>-28</v>
      </c>
      <c r="D76" s="235">
        <v>-18</v>
      </c>
      <c r="E76" s="235">
        <v>-16</v>
      </c>
      <c r="F76" s="236">
        <v>-18</v>
      </c>
      <c r="G76" s="237">
        <v>-23</v>
      </c>
      <c r="H76" s="238">
        <v>-9</v>
      </c>
      <c r="I76" s="237">
        <v>-13</v>
      </c>
      <c r="J76" s="236">
        <v>-28.25</v>
      </c>
      <c r="K76" s="239">
        <v>-31</v>
      </c>
      <c r="L76" s="239">
        <v>-27.5</v>
      </c>
      <c r="M76" s="239">
        <v>-22</v>
      </c>
      <c r="N76" s="417">
        <v>-16.75</v>
      </c>
      <c r="O76" s="417">
        <v>-19</v>
      </c>
      <c r="P76" s="18"/>
      <c r="Q76" s="18"/>
      <c r="R76" s="18"/>
      <c r="S76" s="19"/>
      <c r="T76" s="19"/>
    </row>
    <row r="77" spans="1:20" ht="15" x14ac:dyDescent="0.25">
      <c r="A77" s="203" t="s">
        <v>67</v>
      </c>
      <c r="B77" s="235">
        <v>-18</v>
      </c>
      <c r="C77" s="235">
        <v>9</v>
      </c>
      <c r="D77" s="235">
        <v>-10</v>
      </c>
      <c r="E77" s="235">
        <v>-7</v>
      </c>
      <c r="F77" s="236">
        <v>-7.25</v>
      </c>
      <c r="G77" s="237">
        <v>-1</v>
      </c>
      <c r="H77" s="238">
        <v>-2</v>
      </c>
      <c r="I77" s="237">
        <v>-12</v>
      </c>
      <c r="J77" s="236">
        <v>-15</v>
      </c>
      <c r="K77" s="239">
        <v>-9.5</v>
      </c>
      <c r="L77" s="239">
        <v>-7.75</v>
      </c>
      <c r="M77" s="239">
        <v>-18.25</v>
      </c>
      <c r="N77" s="417">
        <v>-13.25</v>
      </c>
      <c r="O77" s="417">
        <v>-10</v>
      </c>
      <c r="P77" s="18"/>
      <c r="Q77" s="18"/>
      <c r="R77" s="18"/>
      <c r="S77" s="19"/>
      <c r="T77" s="19"/>
    </row>
    <row r="78" spans="1:20" ht="15" x14ac:dyDescent="0.25">
      <c r="A78" s="203" t="s">
        <v>68</v>
      </c>
      <c r="B78" s="235">
        <v>-21</v>
      </c>
      <c r="C78" s="235">
        <v>-7</v>
      </c>
      <c r="D78" s="235">
        <v>-26</v>
      </c>
      <c r="E78" s="235">
        <v>-10</v>
      </c>
      <c r="F78" s="236">
        <v>-5.5</v>
      </c>
      <c r="G78" s="237">
        <v>-9</v>
      </c>
      <c r="H78" s="238">
        <v>-12</v>
      </c>
      <c r="I78" s="237">
        <v>-12</v>
      </c>
      <c r="J78" s="236">
        <v>-17.75</v>
      </c>
      <c r="K78" s="239">
        <v>-32.5</v>
      </c>
      <c r="L78" s="239">
        <v>-20</v>
      </c>
      <c r="M78" s="239">
        <v>-18.75</v>
      </c>
      <c r="N78" s="417">
        <v>-13</v>
      </c>
      <c r="O78" s="417">
        <v>-20</v>
      </c>
      <c r="P78" s="18"/>
      <c r="Q78" s="18"/>
      <c r="R78" s="18"/>
      <c r="S78" s="19"/>
      <c r="T78" s="19"/>
    </row>
    <row r="79" spans="1:20" ht="15" x14ac:dyDescent="0.25">
      <c r="A79" s="203" t="s">
        <v>156</v>
      </c>
      <c r="B79" s="235">
        <v>-15</v>
      </c>
      <c r="C79" s="235">
        <v>-11</v>
      </c>
      <c r="D79" s="235">
        <v>-31</v>
      </c>
      <c r="E79" s="235">
        <v>-14</v>
      </c>
      <c r="F79" s="236">
        <v>-13.75</v>
      </c>
      <c r="G79" s="237">
        <v>-15</v>
      </c>
      <c r="H79" s="238">
        <v>-26</v>
      </c>
      <c r="I79" s="237">
        <v>-19</v>
      </c>
      <c r="J79" s="236">
        <v>-29.75</v>
      </c>
      <c r="K79" s="239">
        <v>-25.75</v>
      </c>
      <c r="L79" s="239">
        <v>-20.5</v>
      </c>
      <c r="M79" s="239">
        <v>-16</v>
      </c>
      <c r="N79" s="417">
        <v>-24</v>
      </c>
      <c r="O79" s="417">
        <v>-20</v>
      </c>
      <c r="P79" s="18"/>
      <c r="Q79" s="18"/>
      <c r="R79" s="18"/>
      <c r="S79" s="19"/>
      <c r="T79" s="19"/>
    </row>
    <row r="80" spans="1:20" ht="15" x14ac:dyDescent="0.25">
      <c r="A80" s="203" t="s">
        <v>69</v>
      </c>
      <c r="B80" s="235">
        <v>-25</v>
      </c>
      <c r="C80" s="235">
        <v>-6</v>
      </c>
      <c r="D80" s="235">
        <v>-10</v>
      </c>
      <c r="E80" s="235">
        <v>-14</v>
      </c>
      <c r="F80" s="236">
        <v>-3.75</v>
      </c>
      <c r="G80" s="237">
        <v>-5</v>
      </c>
      <c r="H80" s="238">
        <v>-8</v>
      </c>
      <c r="I80" s="237">
        <v>-10</v>
      </c>
      <c r="J80" s="236">
        <v>-23.5</v>
      </c>
      <c r="K80" s="239">
        <v>-28.5</v>
      </c>
      <c r="L80" s="239">
        <v>-22.75</v>
      </c>
      <c r="M80" s="239">
        <v>-37.25</v>
      </c>
      <c r="N80" s="417">
        <v>-31.25</v>
      </c>
      <c r="O80" s="417">
        <v>-25</v>
      </c>
      <c r="P80" s="18"/>
      <c r="Q80" s="18"/>
      <c r="R80" s="18"/>
      <c r="S80" s="19"/>
      <c r="T80" s="19"/>
    </row>
    <row r="81" spans="1:20" ht="15" x14ac:dyDescent="0.25">
      <c r="A81" s="203" t="s">
        <v>70</v>
      </c>
      <c r="B81" s="235">
        <v>-27</v>
      </c>
      <c r="C81" s="235">
        <v>-3</v>
      </c>
      <c r="D81" s="235">
        <v>-21</v>
      </c>
      <c r="E81" s="235">
        <v>-5</v>
      </c>
      <c r="F81" s="236">
        <v>-18.5</v>
      </c>
      <c r="G81" s="237">
        <v>-19</v>
      </c>
      <c r="H81" s="238">
        <v>-24</v>
      </c>
      <c r="I81" s="237">
        <v>-50</v>
      </c>
      <c r="J81" s="236">
        <v>-7.5</v>
      </c>
      <c r="K81" s="239">
        <v>-20.5</v>
      </c>
      <c r="L81" s="239">
        <v>-15.75</v>
      </c>
      <c r="M81" s="239">
        <v>-17</v>
      </c>
      <c r="N81" s="417">
        <v>-19.75</v>
      </c>
      <c r="O81" s="417">
        <v>-17</v>
      </c>
      <c r="P81" s="18"/>
      <c r="Q81" s="18"/>
      <c r="R81" s="18"/>
      <c r="S81" s="19"/>
      <c r="T81" s="19"/>
    </row>
    <row r="82" spans="1:20" ht="15" x14ac:dyDescent="0.25">
      <c r="A82" s="203" t="s">
        <v>71</v>
      </c>
      <c r="B82" s="235">
        <v>-26</v>
      </c>
      <c r="C82" s="235">
        <v>-7</v>
      </c>
      <c r="D82" s="235">
        <v>-17</v>
      </c>
      <c r="E82" s="235">
        <v>-15</v>
      </c>
      <c r="F82" s="236">
        <v>-11.75</v>
      </c>
      <c r="G82" s="237">
        <v>-22</v>
      </c>
      <c r="H82" s="238">
        <v>-19</v>
      </c>
      <c r="I82" s="237">
        <v>-17</v>
      </c>
      <c r="J82" s="236">
        <v>-16</v>
      </c>
      <c r="K82" s="239">
        <v>-32.75</v>
      </c>
      <c r="L82" s="239">
        <v>-55.25</v>
      </c>
      <c r="M82" s="239">
        <v>-35</v>
      </c>
      <c r="N82" s="417">
        <v>-48.25</v>
      </c>
      <c r="O82" s="417">
        <v>-10</v>
      </c>
      <c r="P82" s="18"/>
      <c r="Q82" s="18"/>
      <c r="R82" s="18"/>
      <c r="S82" s="19"/>
      <c r="T82" s="19"/>
    </row>
    <row r="83" spans="1:20" ht="22.5" customHeight="1" x14ac:dyDescent="0.25">
      <c r="A83" s="196" t="s">
        <v>123</v>
      </c>
      <c r="B83" s="188">
        <v>-28</v>
      </c>
      <c r="C83" s="188">
        <v>-12</v>
      </c>
      <c r="D83" s="188">
        <v>-7</v>
      </c>
      <c r="E83" s="188">
        <v>-6</v>
      </c>
      <c r="F83" s="189">
        <v>-5.5</v>
      </c>
      <c r="G83" s="192">
        <v>-7</v>
      </c>
      <c r="H83" s="191">
        <v>-6</v>
      </c>
      <c r="I83" s="192">
        <v>-10</v>
      </c>
      <c r="J83" s="189">
        <v>-29.25</v>
      </c>
      <c r="K83" s="234">
        <v>-34</v>
      </c>
      <c r="L83" s="234">
        <v>-33.75</v>
      </c>
      <c r="M83" s="234">
        <v>-26.75</v>
      </c>
      <c r="N83" s="416">
        <v>-20.25</v>
      </c>
      <c r="O83" s="416">
        <v>-24</v>
      </c>
      <c r="P83" s="18"/>
      <c r="Q83" s="18"/>
      <c r="R83" s="18"/>
      <c r="S83" s="19"/>
      <c r="T83" s="19"/>
    </row>
    <row r="84" spans="1:20" ht="15" x14ac:dyDescent="0.25">
      <c r="A84" s="203" t="s">
        <v>62</v>
      </c>
      <c r="B84" s="235">
        <v>-28</v>
      </c>
      <c r="C84" s="235">
        <v>-9</v>
      </c>
      <c r="D84" s="235">
        <v>-4</v>
      </c>
      <c r="E84" s="235">
        <v>-19</v>
      </c>
      <c r="F84" s="236">
        <v>-16</v>
      </c>
      <c r="G84" s="237">
        <v>-22</v>
      </c>
      <c r="H84" s="238">
        <v>-25</v>
      </c>
      <c r="I84" s="237">
        <v>2</v>
      </c>
      <c r="J84" s="236">
        <v>-38.25</v>
      </c>
      <c r="K84" s="239">
        <v>-32.75</v>
      </c>
      <c r="L84" s="239">
        <v>-34.5</v>
      </c>
      <c r="M84" s="239">
        <v>-15</v>
      </c>
      <c r="N84" s="417">
        <v>-15.25</v>
      </c>
      <c r="O84" s="417">
        <v>-39</v>
      </c>
      <c r="P84" s="18"/>
      <c r="Q84" s="18"/>
      <c r="R84" s="18"/>
      <c r="S84" s="19"/>
      <c r="T84" s="19"/>
    </row>
    <row r="85" spans="1:20" ht="15" x14ac:dyDescent="0.25">
      <c r="A85" s="203" t="s">
        <v>72</v>
      </c>
      <c r="B85" s="235">
        <v>-22</v>
      </c>
      <c r="C85" s="235">
        <v>-9</v>
      </c>
      <c r="D85" s="235">
        <v>-6</v>
      </c>
      <c r="E85" s="235">
        <v>-3</v>
      </c>
      <c r="F85" s="236">
        <v>-4</v>
      </c>
      <c r="G85" s="237">
        <v>-1</v>
      </c>
      <c r="H85" s="238">
        <v>-4</v>
      </c>
      <c r="I85" s="237">
        <v>-4</v>
      </c>
      <c r="J85" s="236">
        <v>-24.75</v>
      </c>
      <c r="K85" s="239">
        <v>-19.5</v>
      </c>
      <c r="L85" s="239">
        <v>-20</v>
      </c>
      <c r="M85" s="239">
        <v>-20.25</v>
      </c>
      <c r="N85" s="417">
        <v>-10</v>
      </c>
      <c r="O85" s="417">
        <v>-22</v>
      </c>
      <c r="P85" s="18"/>
      <c r="Q85" s="18"/>
      <c r="R85" s="18"/>
      <c r="S85" s="19"/>
      <c r="T85" s="19"/>
    </row>
    <row r="86" spans="1:20" ht="15" x14ac:dyDescent="0.25">
      <c r="A86" s="203" t="s">
        <v>91</v>
      </c>
      <c r="B86" s="235">
        <v>-19</v>
      </c>
      <c r="C86" s="235">
        <v>10</v>
      </c>
      <c r="D86" s="235">
        <v>-1</v>
      </c>
      <c r="E86" s="235">
        <v>-12</v>
      </c>
      <c r="F86" s="236">
        <v>-9.5</v>
      </c>
      <c r="G86" s="237">
        <v>-7</v>
      </c>
      <c r="H86" s="238">
        <v>-20</v>
      </c>
      <c r="I86" s="237">
        <v>-8</v>
      </c>
      <c r="J86" s="236">
        <v>-19.75</v>
      </c>
      <c r="K86" s="239">
        <v>-19.25</v>
      </c>
      <c r="L86" s="239">
        <v>-24</v>
      </c>
      <c r="M86" s="239">
        <v>-21.25</v>
      </c>
      <c r="N86" s="417">
        <v>-21.5</v>
      </c>
      <c r="O86" s="417">
        <v>-22</v>
      </c>
      <c r="P86" s="18"/>
      <c r="Q86" s="18"/>
      <c r="R86" s="18"/>
      <c r="S86" s="19"/>
      <c r="T86" s="19"/>
    </row>
    <row r="87" spans="1:20" ht="15" x14ac:dyDescent="0.25">
      <c r="A87" s="203" t="s">
        <v>73</v>
      </c>
      <c r="B87" s="235">
        <v>-43</v>
      </c>
      <c r="C87" s="235">
        <v>8</v>
      </c>
      <c r="D87" s="235">
        <v>-7</v>
      </c>
      <c r="E87" s="235">
        <v>-9</v>
      </c>
      <c r="F87" s="236">
        <v>-13</v>
      </c>
      <c r="G87" s="237">
        <v>-9</v>
      </c>
      <c r="H87" s="238">
        <v>-17</v>
      </c>
      <c r="I87" s="237">
        <v>-5</v>
      </c>
      <c r="J87" s="236">
        <v>-25.75</v>
      </c>
      <c r="K87" s="239">
        <v>-25</v>
      </c>
      <c r="L87" s="239">
        <v>-33.25</v>
      </c>
      <c r="M87" s="239">
        <v>-30.5</v>
      </c>
      <c r="N87" s="417">
        <v>-25.25</v>
      </c>
      <c r="O87" s="417">
        <v>-34</v>
      </c>
      <c r="P87" s="18"/>
      <c r="Q87" s="18"/>
      <c r="R87" s="18"/>
      <c r="S87" s="19"/>
      <c r="T87" s="19"/>
    </row>
    <row r="88" spans="1:20" ht="15" x14ac:dyDescent="0.25">
      <c r="A88" s="203" t="s">
        <v>74</v>
      </c>
      <c r="B88" s="235">
        <v>-29</v>
      </c>
      <c r="C88" s="235">
        <v>-19</v>
      </c>
      <c r="D88" s="235">
        <v>-19</v>
      </c>
      <c r="E88" s="235">
        <v>-7</v>
      </c>
      <c r="F88" s="236">
        <v>-0.5</v>
      </c>
      <c r="G88" s="237">
        <v>-8</v>
      </c>
      <c r="H88" s="238">
        <v>-7</v>
      </c>
      <c r="I88" s="237">
        <v>-8</v>
      </c>
      <c r="J88" s="236">
        <v>-11.5</v>
      </c>
      <c r="K88" s="239">
        <v>-28.5</v>
      </c>
      <c r="L88" s="239">
        <v>-33.75</v>
      </c>
      <c r="M88" s="239">
        <v>-22.5</v>
      </c>
      <c r="N88" s="417">
        <v>-30</v>
      </c>
      <c r="O88" s="417">
        <v>-19</v>
      </c>
      <c r="P88" s="18"/>
      <c r="Q88" s="18"/>
      <c r="R88" s="18"/>
      <c r="S88" s="19"/>
      <c r="T88" s="19"/>
    </row>
    <row r="89" spans="1:20" ht="15" x14ac:dyDescent="0.25">
      <c r="A89" s="203" t="s">
        <v>75</v>
      </c>
      <c r="B89" s="235">
        <v>-32</v>
      </c>
      <c r="C89" s="235">
        <v>-18</v>
      </c>
      <c r="D89" s="235">
        <v>4</v>
      </c>
      <c r="E89" s="235">
        <v>3</v>
      </c>
      <c r="F89" s="236">
        <v>-0.5</v>
      </c>
      <c r="G89" s="237">
        <v>-9</v>
      </c>
      <c r="H89" s="238">
        <v>-2</v>
      </c>
      <c r="I89" s="237">
        <v>-26</v>
      </c>
      <c r="J89" s="236">
        <v>-51.75</v>
      </c>
      <c r="K89" s="239">
        <v>-55.75</v>
      </c>
      <c r="L89" s="239">
        <v>-55.5</v>
      </c>
      <c r="M89" s="239">
        <v>-51.75</v>
      </c>
      <c r="N89" s="417">
        <v>-22.75</v>
      </c>
      <c r="O89" s="417">
        <v>-24</v>
      </c>
      <c r="P89" s="18"/>
      <c r="Q89" s="18"/>
      <c r="R89" s="18"/>
      <c r="S89" s="19"/>
      <c r="T89" s="19"/>
    </row>
    <row r="90" spans="1:20" ht="15" x14ac:dyDescent="0.25">
      <c r="A90" s="203" t="s">
        <v>76</v>
      </c>
      <c r="B90" s="235">
        <v>-27</v>
      </c>
      <c r="C90" s="235">
        <v>-4</v>
      </c>
      <c r="D90" s="235">
        <v>-9</v>
      </c>
      <c r="E90" s="235">
        <v>-12</v>
      </c>
      <c r="F90" s="236">
        <v>-6.5</v>
      </c>
      <c r="G90" s="237">
        <v>-5</v>
      </c>
      <c r="H90" s="238">
        <v>-12</v>
      </c>
      <c r="I90" s="237">
        <v>3</v>
      </c>
      <c r="J90" s="236">
        <v>-10</v>
      </c>
      <c r="K90" s="239">
        <v>-20.25</v>
      </c>
      <c r="L90" s="239">
        <v>-17.5</v>
      </c>
      <c r="M90" s="239">
        <v>-27</v>
      </c>
      <c r="N90" s="417">
        <v>-16</v>
      </c>
      <c r="O90" s="417">
        <v>-21</v>
      </c>
      <c r="P90" s="18"/>
      <c r="Q90" s="18"/>
      <c r="R90" s="18"/>
      <c r="S90" s="19"/>
      <c r="T90" s="19"/>
    </row>
    <row r="91" spans="1:20" ht="15" x14ac:dyDescent="0.25">
      <c r="A91" s="203" t="s">
        <v>77</v>
      </c>
      <c r="B91" s="235">
        <v>-39</v>
      </c>
      <c r="C91" s="235">
        <v>-29</v>
      </c>
      <c r="D91" s="235">
        <v>-1</v>
      </c>
      <c r="E91" s="235">
        <v>-2</v>
      </c>
      <c r="F91" s="236">
        <v>-0.75</v>
      </c>
      <c r="G91" s="237">
        <v>-1</v>
      </c>
      <c r="H91" s="238">
        <v>-7</v>
      </c>
      <c r="I91" s="237">
        <v>-24</v>
      </c>
      <c r="J91" s="236">
        <v>-48.75</v>
      </c>
      <c r="K91" s="239">
        <v>-12.5</v>
      </c>
      <c r="L91" s="239">
        <v>1.75</v>
      </c>
      <c r="M91" s="239">
        <v>-11</v>
      </c>
      <c r="N91" s="417">
        <v>-7.75</v>
      </c>
      <c r="O91" s="417">
        <v>-7</v>
      </c>
      <c r="P91" s="18"/>
      <c r="Q91" s="18"/>
      <c r="R91" s="18"/>
      <c r="S91" s="19"/>
      <c r="T91" s="19"/>
    </row>
    <row r="92" spans="1:20" ht="15" x14ac:dyDescent="0.25">
      <c r="A92" s="203" t="s">
        <v>78</v>
      </c>
      <c r="B92" s="235">
        <v>-31</v>
      </c>
      <c r="C92" s="235">
        <v>-8</v>
      </c>
      <c r="D92" s="235">
        <v>-8</v>
      </c>
      <c r="E92" s="235">
        <v>-10</v>
      </c>
      <c r="F92" s="236">
        <v>-23.75</v>
      </c>
      <c r="G92" s="237">
        <v>-7</v>
      </c>
      <c r="H92" s="238">
        <v>3</v>
      </c>
      <c r="I92" s="237">
        <v>-6</v>
      </c>
      <c r="J92" s="236">
        <v>-30.5</v>
      </c>
      <c r="K92" s="239">
        <v>-24.5</v>
      </c>
      <c r="L92" s="239">
        <v>-25.25</v>
      </c>
      <c r="M92" s="239">
        <v>-8.25</v>
      </c>
      <c r="N92" s="417">
        <v>-26.25</v>
      </c>
      <c r="O92" s="417">
        <v>-32</v>
      </c>
      <c r="P92" s="18"/>
      <c r="Q92" s="18"/>
      <c r="R92" s="18"/>
      <c r="S92" s="19"/>
      <c r="T92" s="19"/>
    </row>
    <row r="93" spans="1:20" ht="15" x14ac:dyDescent="0.25">
      <c r="A93" s="203" t="s">
        <v>79</v>
      </c>
      <c r="B93" s="235">
        <v>-14</v>
      </c>
      <c r="C93" s="235">
        <v>-24</v>
      </c>
      <c r="D93" s="235">
        <v>-21</v>
      </c>
      <c r="E93" s="235">
        <v>-22</v>
      </c>
      <c r="F93" s="239">
        <v>-18.75</v>
      </c>
      <c r="G93" s="237">
        <v>-17</v>
      </c>
      <c r="H93" s="238">
        <v>-17</v>
      </c>
      <c r="I93" s="237">
        <v>5</v>
      </c>
      <c r="J93" s="239">
        <v>-16.25</v>
      </c>
      <c r="K93" s="239">
        <v>-29</v>
      </c>
      <c r="L93" s="239">
        <v>-42.5</v>
      </c>
      <c r="M93" s="239">
        <v>-39.5</v>
      </c>
      <c r="N93" s="417">
        <v>-34.5</v>
      </c>
      <c r="O93" s="417">
        <v>-20</v>
      </c>
      <c r="P93" s="18"/>
      <c r="Q93" s="18"/>
      <c r="R93" s="18"/>
      <c r="S93" s="19"/>
      <c r="T93" s="19"/>
    </row>
    <row r="94" spans="1:20" ht="15" x14ac:dyDescent="0.25">
      <c r="A94" s="225" t="s">
        <v>80</v>
      </c>
      <c r="B94" s="242">
        <v>-19</v>
      </c>
      <c r="C94" s="242">
        <v>1</v>
      </c>
      <c r="D94" s="242">
        <v>19</v>
      </c>
      <c r="E94" s="243">
        <v>25</v>
      </c>
      <c r="F94" s="244">
        <v>19</v>
      </c>
      <c r="G94" s="244">
        <v>0</v>
      </c>
      <c r="H94" s="245">
        <v>0</v>
      </c>
      <c r="I94" s="244">
        <v>0</v>
      </c>
      <c r="J94" s="244">
        <v>0</v>
      </c>
      <c r="K94" s="244">
        <v>0</v>
      </c>
      <c r="L94" s="246">
        <v>-69</v>
      </c>
      <c r="M94" s="246">
        <v>-36.75</v>
      </c>
      <c r="N94" s="246">
        <v>-31.75</v>
      </c>
      <c r="O94" s="246">
        <v>-39</v>
      </c>
      <c r="P94" s="18"/>
      <c r="Q94" s="18"/>
      <c r="R94" s="18"/>
      <c r="S94" s="19"/>
      <c r="T94" s="19"/>
    </row>
    <row r="95" spans="1:20" s="21" customFormat="1" ht="33.6" customHeight="1" x14ac:dyDescent="0.25">
      <c r="A95" s="498" t="s">
        <v>133</v>
      </c>
      <c r="B95" s="498"/>
      <c r="C95" s="498"/>
      <c r="D95" s="498"/>
      <c r="E95" s="498"/>
      <c r="F95" s="498"/>
      <c r="G95" s="498"/>
      <c r="H95" s="498"/>
      <c r="I95" s="498"/>
      <c r="J95" s="498"/>
      <c r="K95" s="498"/>
      <c r="L95" s="498"/>
      <c r="M95" s="498"/>
      <c r="N95" s="526"/>
      <c r="O95" s="526"/>
      <c r="R95" s="14"/>
    </row>
    <row r="96" spans="1:20" ht="23.25" customHeight="1" x14ac:dyDescent="0.25">
      <c r="A96" s="524" t="s">
        <v>161</v>
      </c>
      <c r="B96" s="524"/>
      <c r="C96" s="524"/>
      <c r="D96" s="524"/>
      <c r="E96" s="524"/>
      <c r="F96" s="524"/>
      <c r="G96" s="524"/>
      <c r="H96" s="524"/>
      <c r="I96" s="524"/>
      <c r="J96" s="524"/>
      <c r="K96" s="524"/>
      <c r="L96" s="525"/>
      <c r="M96" s="525"/>
      <c r="N96" s="525"/>
      <c r="O96" s="525"/>
    </row>
  </sheetData>
  <mergeCells count="4">
    <mergeCell ref="A96:O96"/>
    <mergeCell ref="A95:O95"/>
    <mergeCell ref="B1:O1"/>
    <mergeCell ref="B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&amp;C&amp;7СТРОИТЕЛЬНЫЕ ОРГАНИЗАЦИИ&amp;R&amp;6&amp;UПродолжение таблицы 2.5.</oddHeader>
    <oddFooter>&amp;L&amp;P&amp;C&amp;8СТРОИТЕЛЬСТВО В РОССИИ. 2022&amp;R&amp;G</oddFooter>
    <evenHeader>&amp;C&amp;7СТРОИТЕЛЬНЫЕ ОРГАНИЗАЦИИ&amp;R&amp;6&amp;UПродолжение таблицы 2.5.</evenHeader>
    <evenFooter>&amp;L&amp;G&amp;C&amp;8СТРОИТЕЛЬСТВО В РОССИИ. 2022&amp;R&amp;P</evenFooter>
    <firstHeader>&amp;C&amp;7СТРОИТЕЛЬНЫЕ ОРГАНИЗАЦИИ</firstHeader>
    <firstFooter>&amp;L&amp;P&amp;C&amp;8СТРОИТЕЛЬСТВО В РОССИИ. 2022&amp;R&amp;G</firstFooter>
  </headerFooter>
  <rowBreaks count="2" manualBreakCount="2">
    <brk id="34" max="16383" man="1"/>
    <brk id="66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6</vt:i4>
      </vt:variant>
    </vt:vector>
  </HeadingPairs>
  <TitlesOfParts>
    <vt:vector size="11" baseType="lpstr">
      <vt:lpstr>2.1.</vt:lpstr>
      <vt:lpstr>2.2.</vt:lpstr>
      <vt:lpstr>2.3.</vt:lpstr>
      <vt:lpstr>2.4.</vt:lpstr>
      <vt:lpstr>2.5.</vt:lpstr>
      <vt:lpstr>'2.1.'!Заголовки_для_печати</vt:lpstr>
      <vt:lpstr>'2.2.'!Заголовки_для_печати</vt:lpstr>
      <vt:lpstr>'2.3.'!Заголовки_для_печати</vt:lpstr>
      <vt:lpstr>'2.4.'!Заголовки_для_печати</vt:lpstr>
      <vt:lpstr>'2.5.'!Заголовки_для_печати</vt:lpstr>
      <vt:lpstr>'2.4.'!Область_печати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Наумова Ирина Алексеевна</dc:creator>
  <cp:lastModifiedBy>Сигай Лариса Федоровна</cp:lastModifiedBy>
  <cp:lastPrinted>2022-11-25T09:45:31Z</cp:lastPrinted>
  <dcterms:created xsi:type="dcterms:W3CDTF">2014-05-27T12:52:25Z</dcterms:created>
  <dcterms:modified xsi:type="dcterms:W3CDTF">2022-11-25T09:45:41Z</dcterms:modified>
</cp:coreProperties>
</file>
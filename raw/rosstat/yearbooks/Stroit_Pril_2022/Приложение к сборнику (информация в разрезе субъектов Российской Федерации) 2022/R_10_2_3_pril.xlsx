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4030" windowHeight="4755" activeTab="3"/>
  </bookViews>
  <sheets>
    <sheet name="2.6." sheetId="1" r:id="rId1"/>
    <sheet name="2.7." sheetId="2" r:id="rId2"/>
    <sheet name="2.8." sheetId="3" r:id="rId3"/>
    <sheet name="2.9." sheetId="4" r:id="rId4"/>
  </sheets>
  <definedNames>
    <definedName name="_xlnm._FilterDatabase" localSheetId="1" hidden="1">'2.7.'!#REF!</definedName>
    <definedName name="_xlnm.Print_Titles" localSheetId="0">'2.6.'!$3:$3</definedName>
    <definedName name="_xlnm.Print_Titles" localSheetId="1">'2.7.'!$3:$5</definedName>
    <definedName name="_xlnm.Print_Titles" localSheetId="2">'2.8.'!$A:$B,'2.8.'!$3:$3</definedName>
    <definedName name="_xlnm.Print_Titles" localSheetId="3">'2.9.'!$3:$4</definedName>
  </definedNames>
  <calcPr calcId="145621"/>
</workbook>
</file>

<file path=xl/calcChain.xml><?xml version="1.0" encoding="utf-8"?>
<calcChain xmlns="http://schemas.openxmlformats.org/spreadsheetml/2006/main">
  <c r="J90" i="1" l="1"/>
  <c r="I90" i="1"/>
  <c r="H90" i="1"/>
  <c r="G90" i="1"/>
  <c r="F90" i="1"/>
  <c r="E90" i="1"/>
  <c r="D90" i="1"/>
  <c r="C90" i="1"/>
  <c r="B90" i="1"/>
  <c r="J79" i="1"/>
  <c r="I79" i="1"/>
  <c r="H79" i="1"/>
  <c r="G79" i="1"/>
  <c r="F79" i="1"/>
  <c r="E79" i="1"/>
  <c r="D79" i="1"/>
  <c r="C79" i="1"/>
  <c r="B79" i="1"/>
</calcChain>
</file>

<file path=xl/sharedStrings.xml><?xml version="1.0" encoding="utf-8"?>
<sst xmlns="http://schemas.openxmlformats.org/spreadsheetml/2006/main" count="903" uniqueCount="190">
  <si>
    <t>(тысяч человек)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</si>
  <si>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</si>
  <si>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</si>
  <si>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</si>
  <si>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</si>
  <si>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</si>
  <si>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</si>
  <si>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</si>
  <si>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</si>
  <si>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</si>
  <si>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</si>
  <si>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</si>
  <si>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</si>
  <si>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</si>
  <si>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</si>
  <si>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</si>
  <si>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</si>
  <si>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</si>
  <si>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</si>
  <si>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</si>
  <si>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</si>
  <si>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</si>
  <si>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</si>
  <si>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</si>
  <si>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</si>
  <si>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</si>
  <si>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</si>
  <si>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</si>
  <si>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</si>
  <si>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</si>
  <si>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</si>
  <si>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</si>
  <si>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</si>
  <si>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</si>
  <si>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</si>
  <si>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</si>
  <si>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</si>
  <si>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</si>
  <si>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</si>
  <si>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</si>
  <si>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</si>
  <si>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</si>
  <si>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</si>
  <si>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</si>
  <si>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…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</si>
  <si>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</si>
  <si>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</si>
  <si>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</si>
  <si>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</si>
  <si>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</si>
  <si>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</si>
  <si>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</si>
  <si>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</si>
  <si>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</si>
  <si>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</si>
  <si>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</si>
  <si>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</si>
  <si>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</si>
  <si>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</si>
  <si>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</si>
  <si>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</si>
  <si>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</si>
  <si>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</si>
  <si>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</si>
  <si>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</si>
  <si>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</si>
  <si>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</si>
  <si>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</si>
  <si>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</si>
  <si>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</si>
  <si>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</si>
  <si>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</si>
  <si>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</si>
  <si>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</si>
  <si>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</si>
  <si>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</si>
  <si>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</si>
  <si>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</si>
  <si>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</si>
  <si>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</si>
  <si>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</si>
  <si>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</si>
  <si>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</si>
  <si>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</si>
  <si>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</si>
  <si>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</si>
  <si>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</si>
  <si>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Архангельская область без автономного округа</t>
  </si>
  <si>
    <t>Тюменская область без автономных округов</t>
  </si>
  <si>
    <t xml:space="preserve">Республика Адыгея </t>
  </si>
  <si>
    <t xml:space="preserve">Республика Татарстан </t>
  </si>
  <si>
    <t>Республика Северная Осетия-Алания</t>
  </si>
  <si>
    <t xml:space="preserve">Ямало-Ненецкий автономный округ </t>
  </si>
  <si>
    <t>рабочие</t>
  </si>
  <si>
    <t>руководители</t>
  </si>
  <si>
    <t>специалисты</t>
  </si>
  <si>
    <t>Все работники</t>
  </si>
  <si>
    <t>другие служащие</t>
  </si>
  <si>
    <t>Северо-Кавказский                                               федеральный округ</t>
  </si>
  <si>
    <t>Приволжский                                                                 федеральный округ</t>
  </si>
  <si>
    <t>Уральский                                                                   федеральный округ</t>
  </si>
  <si>
    <t>Дальневосточный                                                            федеральный округ</t>
  </si>
  <si>
    <t>Центральный                                                    федеральный округ</t>
  </si>
  <si>
    <t>Северо-Западный                                         федеральный округ</t>
  </si>
  <si>
    <t>Южный                                                 федеральный округ</t>
  </si>
  <si>
    <t>Северо-Кавказский                                                федеральный округ</t>
  </si>
  <si>
    <t>Приволжский                                                           федеральный округ</t>
  </si>
  <si>
    <t>Уральский                                                         федеральный округ</t>
  </si>
  <si>
    <t>Сибирский                                                                     федеральный округ</t>
  </si>
  <si>
    <t>Дальневосточный                                                               федеральный округ</t>
  </si>
  <si>
    <t>Центральный                                              федеральный округ</t>
  </si>
  <si>
    <t>Северо-Западный                                                  федеральный округ</t>
  </si>
  <si>
    <t>Южный                                                                               федеральный округ</t>
  </si>
  <si>
    <t>Северо-Кавказский                                                             федеральный округ</t>
  </si>
  <si>
    <t>Приволжский                                                                     федеральный округ</t>
  </si>
  <si>
    <t>Уральский                                                                    федеральный округ</t>
  </si>
  <si>
    <t>Сибирский                                                             федеральный округ</t>
  </si>
  <si>
    <t>Дальневосточный                                                    федеральный округ</t>
  </si>
  <si>
    <t>Еврейская автономная 
область</t>
  </si>
  <si>
    <t>Республика Крым</t>
  </si>
  <si>
    <t>г.Севастополь</t>
  </si>
  <si>
    <t xml:space="preserve">     производственной    среды</t>
  </si>
  <si>
    <t>трудового процесса</t>
  </si>
  <si>
    <t>химического фактора</t>
  </si>
  <si>
    <t>ионизирующего излучения</t>
  </si>
  <si>
    <t>микроклимата</t>
  </si>
  <si>
    <t>световой среды</t>
  </si>
  <si>
    <t>Занятые на работах с вредными и (или) опасными условиями труда</t>
  </si>
  <si>
    <t>тяжести</t>
  </si>
  <si>
    <t>вибрации (общей и локальной)</t>
  </si>
  <si>
    <t xml:space="preserve">аэрозолей преимущественно фиброгенного действия        
</t>
  </si>
  <si>
    <t xml:space="preserve">                                                                                           из них занятые под воздействием факторов</t>
  </si>
  <si>
    <t>от 75000,1 до 100000,0</t>
  </si>
  <si>
    <t>Центральный  федеральный округ</t>
  </si>
  <si>
    <t>Южный  федеральный округ</t>
  </si>
  <si>
    <t xml:space="preserve">2.6. СРЕДНЕГОДОВАЯ ЧИСЛЕННОСТЬ РАБОТНИКОВ ОРГАНИЗАЦИЙ, ЗАНЯТЫХ В СТРОИТЕЛЬСТВЕ </t>
  </si>
  <si>
    <t>Центральный                                                      федеральный округ</t>
  </si>
  <si>
    <t>Северо-Западный                                               федеральный округ</t>
  </si>
  <si>
    <t>Южный                                                            федеральный округ</t>
  </si>
  <si>
    <t>Северо-Кавказский                                                               федеральный округ</t>
  </si>
  <si>
    <t>Приволжский                                                                         федеральный округ</t>
  </si>
  <si>
    <t>Уральский                                                                            федеральный округ</t>
  </si>
  <si>
    <t>Сибирский                                                                          федеральный округ</t>
  </si>
  <si>
    <t>Дальневосточный                                                              федеральный округ</t>
  </si>
  <si>
    <t>Северо-Западный 
федеральный округ</t>
  </si>
  <si>
    <t>Сибирский  
федеральный округ</t>
  </si>
  <si>
    <t>напряжен-ности</t>
  </si>
  <si>
    <t>биологичес-кого фактора</t>
  </si>
  <si>
    <t>неоинизирую-щего излучения</t>
  </si>
  <si>
    <t>Архангельская область 
без автономного округа</t>
  </si>
  <si>
    <t>Ханты-Мансийский автономный округ - 
Югра</t>
  </si>
  <si>
    <t>Тюменская область 
без автономных округов</t>
  </si>
  <si>
    <t>(без субъектов малого предпринимательства; в процентах от общей численности работников строительных организаций)</t>
  </si>
  <si>
    <t>шума, ультразвука воздушного, инфразвука</t>
  </si>
  <si>
    <t>(без субъектов малого предпринимательства; по данным выборочного обследования организаций за октябрь; рублей)</t>
  </si>
  <si>
    <t>(без субъектов малого предпринимательства; по данным единовременного выборочного обследования; в процентах)</t>
  </si>
  <si>
    <t>до  12792,0</t>
  </si>
  <si>
    <t>от 12792,1 до 13770,0</t>
  </si>
  <si>
    <t>от 13770,1 до 14750,0</t>
  </si>
  <si>
    <t>от 14750,1 до 15990,0</t>
  </si>
  <si>
    <t xml:space="preserve"> от 15990,1 до 16650,0</t>
  </si>
  <si>
    <t xml:space="preserve"> от 16650,1 до 17950,0</t>
  </si>
  <si>
    <t>от 17950,1 до 19250,0</t>
  </si>
  <si>
    <t>от 19250,1 до 20470,0</t>
  </si>
  <si>
    <t>от 20470,1 до 21780,0</t>
  </si>
  <si>
    <t>от 21780,1 до 23080,0</t>
  </si>
  <si>
    <t>от 23080,1 до 24330,0</t>
  </si>
  <si>
    <t>от 24330,1 до 25590,0</t>
  </si>
  <si>
    <t>от 25590,1 до 26870,0</t>
  </si>
  <si>
    <t>от 26870,1 до 28150,0</t>
  </si>
  <si>
    <t>от 28150,1 до 30740,0</t>
  </si>
  <si>
    <t>от 30740,1 до 33230,0</t>
  </si>
  <si>
    <t>от 33230,1 до 35800,0</t>
  </si>
  <si>
    <t>от 35800,1 до 38850,0</t>
  </si>
  <si>
    <t>от 38850,1 до 45000,0</t>
  </si>
  <si>
    <t>от 45000,1 до 55000,0</t>
  </si>
  <si>
    <t>от 55000,1 до 65000,0</t>
  </si>
  <si>
    <t>от 65000,1 до 75000,0</t>
  </si>
  <si>
    <t>от 100000,1 до 200000,0</t>
  </si>
  <si>
    <t>от 200000,1 до 400000,0</t>
  </si>
  <si>
    <t>от 400000,1 до 1000000,0</t>
  </si>
  <si>
    <t>Свыше 3000000,0</t>
  </si>
  <si>
    <t>от 1000000,1  до 
1500000 ,0</t>
  </si>
  <si>
    <t>от 1500000,1 до 
3000000 ,0</t>
  </si>
  <si>
    <t>Кемеровская область - Кузбасс</t>
  </si>
  <si>
    <t>2.8. РАСПРЕДЕЛЕНИЕ ЧИСЛЕННОСТИ РАБОТНИКОВ СТРОИТЕЛЬНЫХ ОРГАНИЗАЦИЙ ПО РАЗМЕРАМ НАЧИСЛЕННОЙ ЗАРАБОТНОЙ ПЛАТЫ
 в апреле 2021 г.</t>
  </si>
  <si>
    <t>2.9. СРЕДНЯЯ НАЧИСЛЕННАЯ ЗАРАБОТНАЯ ПЛАТА РАБОТНИКОВ
СТРОИТЕЛЬНЫХ ОРГАНИЗАЦИЙ ПО КАТЕГОРИЯМ ПЕРСОНАЛА
 в 2021 г.</t>
  </si>
  <si>
    <t>Еврейская автономная
область</t>
  </si>
  <si>
    <t>2.7. УДЕЛЬНЫЙ ВЕС ЧИСЛЕННОСТИ РАБОТНИКОВ, 
ЗАНЯТЫХ НА РАБОТАХ С ВРЕДНЫМИ И (ИЛИ) ОПАСНЫМИ УСЛОВИЯМИ ТРУДА, 
СТРОИТЕЛЬНЫХ ОРГАНИЗАЦИЙ
 на конец  2021 г.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</si>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</sst>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7"/>
      <name val="Calibri"/>
      <family val="2"/>
      <charset val="204"/>
      <scheme val="minor"/>
    </font>
    <font>
      <b/>
      <sz val="8"/>
      <name val="Arial"/>
      <family val="2"/>
      <charset val="204"/>
    </font>
    <font>
      <vertAlign val="superscript"/>
      <sz val="7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color theme="1"/>
      <name val="Arial"/>
      <family val="2"/>
    </font>
    <font>
      <sz val="7"/>
      <name val="Arial"/>
      <family val="2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00">
    <xf numFmtId="0" fontId="0" fillId="0" borderId="0" xfId="0"/>
    <xf numFmtId="0" fontId="6" fillId="0" borderId="0" xfId="0" applyFont="1"/>
    <xf numFmtId="0" fontId="7" fillId="0" borderId="0" xfId="0" applyFont="1"/>
    <xf numFmtId="0" fontId="2" fillId="0" borderId="0" xfId="0" applyFont="1" applyBorder="1" applyAlignment="1">
      <alignment horizontal="left" wrapText="1" indent="1"/>
    </xf>
    <xf numFmtId="0" fontId="8" fillId="0" borderId="0" xfId="0" applyFont="1"/>
    <xf numFmtId="0" fontId="7" fillId="0" borderId="0" xfId="0" applyFont="1" applyFill="1"/>
    <xf numFmtId="0" fontId="2" fillId="0" borderId="0" xfId="0" applyFont="1" applyBorder="1" applyAlignment="1">
      <alignment horizontal="left" wrapText="1" indent="2"/>
    </xf>
    <xf numFmtId="0" fontId="9" fillId="0" borderId="0" xfId="0" applyFont="1"/>
    <xf numFmtId="0" fontId="6" fillId="0" borderId="0" xfId="0" applyFont="1" applyFill="1"/>
    <xf numFmtId="0" fontId="1" fillId="0" borderId="1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wrapText="1"/>
    </xf>
    <xf numFmtId="164" fontId="1" fillId="0" borderId="4" xfId="0" applyNumberFormat="1" applyFont="1" applyBorder="1" applyAlignment="1">
      <alignment horizontal="right" indent="1"/>
    </xf>
    <xf numFmtId="164" fontId="1" fillId="0" borderId="0" xfId="0" applyNumberFormat="1" applyFont="1" applyBorder="1" applyAlignment="1">
      <alignment horizontal="right" indent="1"/>
    </xf>
    <xf numFmtId="164" fontId="1" fillId="0" borderId="3" xfId="0" applyNumberFormat="1" applyFont="1" applyBorder="1" applyAlignment="1">
      <alignment horizontal="right" indent="1"/>
    </xf>
    <xf numFmtId="164" fontId="1" fillId="0" borderId="6" xfId="0" applyNumberFormat="1" applyFont="1" applyBorder="1" applyAlignment="1">
      <alignment horizontal="right" indent="1"/>
    </xf>
    <xf numFmtId="164" fontId="1" fillId="0" borderId="3" xfId="0" applyNumberFormat="1" applyFont="1" applyFill="1" applyBorder="1" applyAlignment="1">
      <alignment horizontal="right" indent="1"/>
    </xf>
    <xf numFmtId="0" fontId="1" fillId="0" borderId="0" xfId="0" applyFont="1" applyBorder="1" applyAlignment="1">
      <alignment horizontal="left" wrapText="1" indent="2"/>
    </xf>
    <xf numFmtId="164" fontId="1" fillId="0" borderId="7" xfId="0" applyNumberFormat="1" applyFont="1" applyBorder="1" applyAlignment="1">
      <alignment horizontal="right" indent="1"/>
    </xf>
    <xf numFmtId="164" fontId="1" fillId="0" borderId="4" xfId="0" applyNumberFormat="1" applyFont="1" applyFill="1" applyBorder="1" applyAlignment="1">
      <alignment horizontal="right" indent="1"/>
    </xf>
    <xf numFmtId="164" fontId="2" fillId="0" borderId="4" xfId="0" applyNumberFormat="1" applyFont="1" applyBorder="1" applyAlignment="1">
      <alignment horizontal="right" indent="1"/>
    </xf>
    <xf numFmtId="164" fontId="2" fillId="0" borderId="0" xfId="0" applyNumberFormat="1" applyFont="1" applyBorder="1" applyAlignment="1">
      <alignment horizontal="right" indent="1"/>
    </xf>
    <xf numFmtId="164" fontId="2" fillId="0" borderId="7" xfId="0" applyNumberFormat="1" applyFont="1" applyBorder="1" applyAlignment="1">
      <alignment horizontal="right" indent="1"/>
    </xf>
    <xf numFmtId="164" fontId="2" fillId="0" borderId="4" xfId="0" applyNumberFormat="1" applyFont="1" applyFill="1" applyBorder="1" applyAlignment="1">
      <alignment horizontal="right" indent="1"/>
    </xf>
    <xf numFmtId="0" fontId="2" fillId="0" borderId="0" xfId="0" applyFont="1" applyBorder="1" applyAlignment="1">
      <alignment horizontal="left" wrapText="1" indent="4"/>
    </xf>
    <xf numFmtId="0" fontId="6" fillId="0" borderId="4" xfId="0" applyFont="1" applyBorder="1" applyAlignment="1">
      <alignment horizontal="right" indent="1"/>
    </xf>
    <xf numFmtId="0" fontId="2" fillId="0" borderId="5" xfId="0" applyFont="1" applyBorder="1" applyAlignment="1">
      <alignment horizontal="left" wrapText="1" indent="1"/>
    </xf>
    <xf numFmtId="164" fontId="2" fillId="0" borderId="2" xfId="0" applyNumberFormat="1" applyFont="1" applyBorder="1" applyAlignment="1">
      <alignment horizontal="right" indent="1"/>
    </xf>
    <xf numFmtId="164" fontId="2" fillId="0" borderId="5" xfId="0" applyNumberFormat="1" applyFont="1" applyBorder="1" applyAlignment="1">
      <alignment horizontal="right" indent="1"/>
    </xf>
    <xf numFmtId="164" fontId="2" fillId="0" borderId="10" xfId="0" applyNumberFormat="1" applyFont="1" applyBorder="1" applyAlignment="1">
      <alignment horizontal="right" indent="1"/>
    </xf>
    <xf numFmtId="164" fontId="2" fillId="0" borderId="2" xfId="0" applyNumberFormat="1" applyFont="1" applyFill="1" applyBorder="1" applyAlignment="1">
      <alignment horizontal="right" indent="1"/>
    </xf>
    <xf numFmtId="0" fontId="11" fillId="0" borderId="0" xfId="1" applyNumberFormat="1" applyFont="1" applyFill="1" applyBorder="1" applyAlignment="1" applyProtection="1">
      <alignment horizontal="left" wrapText="1" indent="1"/>
    </xf>
    <xf numFmtId="0" fontId="4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 vertical="top" wrapText="1"/>
    </xf>
    <xf numFmtId="0" fontId="2" fillId="0" borderId="7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2" fillId="0" borderId="0" xfId="0" applyFont="1"/>
    <xf numFmtId="0" fontId="1" fillId="0" borderId="7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right" indent="1"/>
    </xf>
    <xf numFmtId="0" fontId="5" fillId="0" borderId="0" xfId="0" applyFont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left" wrapText="1" indent="2"/>
    </xf>
    <xf numFmtId="0" fontId="2" fillId="0" borderId="11" xfId="0" applyFont="1" applyBorder="1" applyAlignment="1">
      <alignment horizontal="left" wrapText="1" indent="1"/>
    </xf>
    <xf numFmtId="0" fontId="2" fillId="0" borderId="11" xfId="0" applyFont="1" applyFill="1" applyBorder="1" applyAlignment="1">
      <alignment horizontal="left" wrapText="1" indent="1"/>
    </xf>
    <xf numFmtId="0" fontId="2" fillId="0" borderId="11" xfId="0" applyFont="1" applyBorder="1" applyAlignment="1">
      <alignment horizontal="left" wrapText="1" indent="4"/>
    </xf>
    <xf numFmtId="0" fontId="2" fillId="0" borderId="11" xfId="0" applyFont="1" applyBorder="1" applyAlignment="1">
      <alignment horizontal="left" wrapText="1" indent="2"/>
    </xf>
    <xf numFmtId="0" fontId="2" fillId="0" borderId="12" xfId="0" applyFont="1" applyBorder="1" applyAlignment="1">
      <alignment horizontal="left" wrapText="1" inden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5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left" vertical="center" wrapText="1" shrinkToFit="1"/>
    </xf>
    <xf numFmtId="0" fontId="1" fillId="0" borderId="9" xfId="0" applyFont="1" applyFill="1" applyBorder="1" applyAlignment="1">
      <alignment horizontal="left" vertical="center" wrapText="1" shrinkToFit="1"/>
    </xf>
    <xf numFmtId="0" fontId="1" fillId="0" borderId="13" xfId="0" applyFont="1" applyFill="1" applyBorder="1" applyAlignment="1">
      <alignment horizontal="left" vertical="center" wrapText="1" shrinkToFi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0</xdr:row>
      <xdr:rowOff>206744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0</xdr:row>
      <xdr:rowOff>206744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0</xdr:row>
      <xdr:rowOff>206744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zoomScale="120" zoomScaleNormal="120" workbookViewId="0">
      <selection sqref="A1:N1"/>
    </sheetView>
  </sheetViews>
  <sheetFormatPr defaultColWidth="9.140625" defaultRowHeight="11.25" x14ac:dyDescent="0.2"/>
  <cols>
    <col min="1" max="1" width="25.7109375" style="1" customWidth="1"/>
    <col min="2" max="14" width="9.7109375" style="1" customWidth="1"/>
    <col min="15" max="16384" width="9.140625" style="1"/>
  </cols>
  <sheetData>
    <row r="1" spans="1:14" ht="15" customHeight="1" x14ac:dyDescent="0.25">
      <c r="A1" s="79" t="s">
        <v>135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15" customHeight="1" x14ac:dyDescent="0.2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s="7" customFormat="1" ht="15" customHeight="1" x14ac:dyDescent="0.2">
      <c r="A3" s="10"/>
      <c r="B3" s="13">
        <v>2005</v>
      </c>
      <c r="C3" s="12">
        <v>2010</v>
      </c>
      <c r="D3" s="13">
        <v>2011</v>
      </c>
      <c r="E3" s="12">
        <v>2012</v>
      </c>
      <c r="F3" s="13">
        <v>2013</v>
      </c>
      <c r="G3" s="13">
        <v>2014</v>
      </c>
      <c r="H3" s="11">
        <v>2015</v>
      </c>
      <c r="I3" s="13">
        <v>2016</v>
      </c>
      <c r="J3" s="13">
        <v>2017</v>
      </c>
      <c r="K3" s="13">
        <v>2018</v>
      </c>
      <c r="L3" s="13">
        <v>2019</v>
      </c>
      <c r="M3" s="14">
        <v>2020</v>
      </c>
      <c r="N3" s="14">
        <v>2021</v>
      </c>
    </row>
    <row r="4" spans="1:14" ht="15" customHeight="1" x14ac:dyDescent="0.2">
      <c r="A4" s="17" t="s">
        <v>1</v>
      </c>
      <c r="B4" s="18">
        <v>2816.2</v>
      </c>
      <c r="C4" s="19">
        <v>3061.9</v>
      </c>
      <c r="D4" s="18">
        <v>2786.6</v>
      </c>
      <c r="E4" s="19">
        <v>2862.0529999999999</v>
      </c>
      <c r="F4" s="20">
        <v>2825.78</v>
      </c>
      <c r="G4" s="20">
        <v>2734.43</v>
      </c>
      <c r="H4" s="21">
        <v>2618.998</v>
      </c>
      <c r="I4" s="20">
        <v>2455.4189999999999</v>
      </c>
      <c r="J4" s="20">
        <v>2460.1</v>
      </c>
      <c r="K4" s="22">
        <v>2409.7820000000002</v>
      </c>
      <c r="L4" s="22">
        <v>2407.4859999999999</v>
      </c>
      <c r="M4" s="22">
        <v>2315.52</v>
      </c>
      <c r="N4" s="22">
        <v>2326.3130000000001</v>
      </c>
    </row>
    <row r="5" spans="1:14" ht="22.5" customHeight="1" x14ac:dyDescent="0.2">
      <c r="A5" s="23" t="s">
        <v>133</v>
      </c>
      <c r="B5" s="18">
        <v>799.3</v>
      </c>
      <c r="C5" s="19">
        <v>1031.5</v>
      </c>
      <c r="D5" s="18">
        <v>740.9</v>
      </c>
      <c r="E5" s="19">
        <v>774.82799999999997</v>
      </c>
      <c r="F5" s="18">
        <v>767.95500000000004</v>
      </c>
      <c r="G5" s="18">
        <v>733.36099999999999</v>
      </c>
      <c r="H5" s="24">
        <v>695.40200000000004</v>
      </c>
      <c r="I5" s="24">
        <v>642.17100000000005</v>
      </c>
      <c r="J5" s="18">
        <v>646</v>
      </c>
      <c r="K5" s="25">
        <v>649.35500000000002</v>
      </c>
      <c r="L5" s="25">
        <v>660.47400000000005</v>
      </c>
      <c r="M5" s="25">
        <v>657.08500000000004</v>
      </c>
      <c r="N5" s="25">
        <v>680.56600000000003</v>
      </c>
    </row>
    <row r="6" spans="1:14" ht="12" customHeight="1" x14ac:dyDescent="0.2">
      <c r="A6" s="3" t="s">
        <v>2</v>
      </c>
      <c r="B6" s="26">
        <v>35.5</v>
      </c>
      <c r="C6" s="27">
        <v>32</v>
      </c>
      <c r="D6" s="26">
        <v>35.1</v>
      </c>
      <c r="E6" s="27">
        <v>38.067</v>
      </c>
      <c r="F6" s="26">
        <v>36.164999999999999</v>
      </c>
      <c r="G6" s="26">
        <v>33.219000000000001</v>
      </c>
      <c r="H6" s="28">
        <v>31.207000000000001</v>
      </c>
      <c r="I6" s="28">
        <v>26.454000000000001</v>
      </c>
      <c r="J6" s="26">
        <v>26.5</v>
      </c>
      <c r="K6" s="29">
        <v>27.225999999999999</v>
      </c>
      <c r="L6" s="29">
        <v>27.510999999999999</v>
      </c>
      <c r="M6" s="29">
        <v>24.163</v>
      </c>
      <c r="N6" s="29">
        <v>22.532</v>
      </c>
    </row>
    <row r="7" spans="1:14" ht="12" customHeight="1" x14ac:dyDescent="0.2">
      <c r="A7" s="3" t="s">
        <v>3</v>
      </c>
      <c r="B7" s="26">
        <v>14.2</v>
      </c>
      <c r="C7" s="27">
        <v>11.9</v>
      </c>
      <c r="D7" s="26">
        <v>12.8</v>
      </c>
      <c r="E7" s="27">
        <v>15.956</v>
      </c>
      <c r="F7" s="26">
        <v>15.888999999999999</v>
      </c>
      <c r="G7" s="26">
        <v>16.510999999999999</v>
      </c>
      <c r="H7" s="28">
        <v>14.926</v>
      </c>
      <c r="I7" s="28">
        <v>14.159000000000001</v>
      </c>
      <c r="J7" s="26">
        <v>12.5</v>
      </c>
      <c r="K7" s="29">
        <v>12.343999999999999</v>
      </c>
      <c r="L7" s="29">
        <v>11.62</v>
      </c>
      <c r="M7" s="29">
        <v>10.624000000000001</v>
      </c>
      <c r="N7" s="29">
        <v>10.199999999999999</v>
      </c>
    </row>
    <row r="8" spans="1:14" ht="12" customHeight="1" x14ac:dyDescent="0.2">
      <c r="A8" s="3" t="s">
        <v>4</v>
      </c>
      <c r="B8" s="26">
        <v>11.8</v>
      </c>
      <c r="C8" s="27">
        <v>38.4</v>
      </c>
      <c r="D8" s="26">
        <v>31.5</v>
      </c>
      <c r="E8" s="27">
        <v>31.143000000000001</v>
      </c>
      <c r="F8" s="26">
        <v>26.459</v>
      </c>
      <c r="G8" s="26">
        <v>18.379000000000001</v>
      </c>
      <c r="H8" s="28">
        <v>18.545999999999999</v>
      </c>
      <c r="I8" s="28">
        <v>16.536999999999999</v>
      </c>
      <c r="J8" s="26">
        <v>11.4</v>
      </c>
      <c r="K8" s="29">
        <v>12.263</v>
      </c>
      <c r="L8" s="29">
        <v>12.007999999999999</v>
      </c>
      <c r="M8" s="29">
        <v>11.651</v>
      </c>
      <c r="N8" s="29">
        <v>11.991</v>
      </c>
    </row>
    <row r="9" spans="1:14" ht="12" customHeight="1" x14ac:dyDescent="0.2">
      <c r="A9" s="3" t="s">
        <v>5</v>
      </c>
      <c r="B9" s="26">
        <v>38.1</v>
      </c>
      <c r="C9" s="27">
        <v>40.799999999999997</v>
      </c>
      <c r="D9" s="26">
        <v>39.1</v>
      </c>
      <c r="E9" s="27">
        <v>40.774000000000001</v>
      </c>
      <c r="F9" s="26">
        <v>40.557000000000002</v>
      </c>
      <c r="G9" s="26">
        <v>42.140999999999998</v>
      </c>
      <c r="H9" s="28">
        <v>38.593000000000004</v>
      </c>
      <c r="I9" s="28">
        <v>33.095999999999997</v>
      </c>
      <c r="J9" s="26">
        <v>30.6</v>
      </c>
      <c r="K9" s="29">
        <v>32.090000000000003</v>
      </c>
      <c r="L9" s="29">
        <v>32.790999999999997</v>
      </c>
      <c r="M9" s="29">
        <v>29.44</v>
      </c>
      <c r="N9" s="29">
        <v>27.922999999999998</v>
      </c>
    </row>
    <row r="10" spans="1:14" ht="12" customHeight="1" x14ac:dyDescent="0.2">
      <c r="A10" s="3" t="s">
        <v>6</v>
      </c>
      <c r="B10" s="26">
        <v>9.3000000000000007</v>
      </c>
      <c r="C10" s="27">
        <v>12</v>
      </c>
      <c r="D10" s="26">
        <v>12.4</v>
      </c>
      <c r="E10" s="27">
        <v>10.759</v>
      </c>
      <c r="F10" s="26">
        <v>11.055</v>
      </c>
      <c r="G10" s="26">
        <v>12.848000000000001</v>
      </c>
      <c r="H10" s="28">
        <v>11.199</v>
      </c>
      <c r="I10" s="28">
        <v>9.8109999999999999</v>
      </c>
      <c r="J10" s="26">
        <v>9.9</v>
      </c>
      <c r="K10" s="29">
        <v>8.8859999999999992</v>
      </c>
      <c r="L10" s="29">
        <v>7.9349999999999996</v>
      </c>
      <c r="M10" s="29">
        <v>8.5329999999999995</v>
      </c>
      <c r="N10" s="29">
        <v>9.0890000000000004</v>
      </c>
    </row>
    <row r="11" spans="1:14" ht="12" customHeight="1" x14ac:dyDescent="0.2">
      <c r="A11" s="3" t="s">
        <v>7</v>
      </c>
      <c r="B11" s="26">
        <v>19.399999999999999</v>
      </c>
      <c r="C11" s="27">
        <v>16.899999999999999</v>
      </c>
      <c r="D11" s="26">
        <v>16.2</v>
      </c>
      <c r="E11" s="27">
        <v>20.245999999999999</v>
      </c>
      <c r="F11" s="26">
        <v>20.425999999999998</v>
      </c>
      <c r="G11" s="26">
        <v>23.605</v>
      </c>
      <c r="H11" s="28">
        <v>22.2</v>
      </c>
      <c r="I11" s="28">
        <v>15.247</v>
      </c>
      <c r="J11" s="26">
        <v>15.2</v>
      </c>
      <c r="K11" s="29">
        <v>14.127000000000001</v>
      </c>
      <c r="L11" s="29">
        <v>14.426</v>
      </c>
      <c r="M11" s="29">
        <v>13.459</v>
      </c>
      <c r="N11" s="29">
        <v>11.864000000000001</v>
      </c>
    </row>
    <row r="12" spans="1:14" ht="12" customHeight="1" x14ac:dyDescent="0.2">
      <c r="A12" s="3" t="s">
        <v>8</v>
      </c>
      <c r="B12" s="26">
        <v>9.6999999999999993</v>
      </c>
      <c r="C12" s="27">
        <v>8.3000000000000007</v>
      </c>
      <c r="D12" s="26">
        <v>7.2</v>
      </c>
      <c r="E12" s="27">
        <v>7.6310000000000002</v>
      </c>
      <c r="F12" s="26">
        <v>7.0469999999999997</v>
      </c>
      <c r="G12" s="26">
        <v>6.8550000000000004</v>
      </c>
      <c r="H12" s="28">
        <v>6.4889999999999999</v>
      </c>
      <c r="I12" s="28">
        <v>5.6239999999999997</v>
      </c>
      <c r="J12" s="26">
        <v>5.3</v>
      </c>
      <c r="K12" s="29">
        <v>6.0490000000000004</v>
      </c>
      <c r="L12" s="29">
        <v>5.6269999999999998</v>
      </c>
      <c r="M12" s="29">
        <v>5.7190000000000003</v>
      </c>
      <c r="N12" s="29">
        <v>5.7629999999999999</v>
      </c>
    </row>
    <row r="13" spans="1:14" ht="12" customHeight="1" x14ac:dyDescent="0.2">
      <c r="A13" s="3" t="s">
        <v>9</v>
      </c>
      <c r="B13" s="26">
        <v>20.5</v>
      </c>
      <c r="C13" s="27">
        <v>21.4</v>
      </c>
      <c r="D13" s="26">
        <v>21.1</v>
      </c>
      <c r="E13" s="27">
        <v>19.957000000000001</v>
      </c>
      <c r="F13" s="26">
        <v>20.416</v>
      </c>
      <c r="G13" s="26">
        <v>20.068999999999999</v>
      </c>
      <c r="H13" s="28">
        <v>18.611000000000001</v>
      </c>
      <c r="I13" s="28">
        <v>16.288</v>
      </c>
      <c r="J13" s="26">
        <v>15.7</v>
      </c>
      <c r="K13" s="29">
        <v>17.178000000000001</v>
      </c>
      <c r="L13" s="29">
        <v>18.483000000000001</v>
      </c>
      <c r="M13" s="29">
        <v>18.149999999999999</v>
      </c>
      <c r="N13" s="29">
        <v>17.797000000000001</v>
      </c>
    </row>
    <row r="14" spans="1:14" ht="12" customHeight="1" x14ac:dyDescent="0.2">
      <c r="A14" s="3" t="s">
        <v>10</v>
      </c>
      <c r="B14" s="26">
        <v>25.9</v>
      </c>
      <c r="C14" s="27">
        <v>28.1</v>
      </c>
      <c r="D14" s="26">
        <v>29.8</v>
      </c>
      <c r="E14" s="27">
        <v>29.715</v>
      </c>
      <c r="F14" s="26">
        <v>28.762</v>
      </c>
      <c r="G14" s="26">
        <v>28.097000000000001</v>
      </c>
      <c r="H14" s="28">
        <v>28.013999999999999</v>
      </c>
      <c r="I14" s="28">
        <v>26.782</v>
      </c>
      <c r="J14" s="26">
        <v>27.6</v>
      </c>
      <c r="K14" s="29">
        <v>26.704999999999998</v>
      </c>
      <c r="L14" s="29">
        <v>25.96</v>
      </c>
      <c r="M14" s="29">
        <v>22.85</v>
      </c>
      <c r="N14" s="29">
        <v>20.324000000000002</v>
      </c>
    </row>
    <row r="15" spans="1:14" ht="12" customHeight="1" x14ac:dyDescent="0.2">
      <c r="A15" s="3" t="s">
        <v>11</v>
      </c>
      <c r="B15" s="26">
        <v>115.1</v>
      </c>
      <c r="C15" s="27">
        <v>98.8</v>
      </c>
      <c r="D15" s="26">
        <v>92.5</v>
      </c>
      <c r="E15" s="27">
        <v>88.582999999999998</v>
      </c>
      <c r="F15" s="26">
        <v>89.575000000000003</v>
      </c>
      <c r="G15" s="26">
        <v>89.582999999999998</v>
      </c>
      <c r="H15" s="28">
        <v>87.745999999999995</v>
      </c>
      <c r="I15" s="28">
        <v>83.245999999999995</v>
      </c>
      <c r="J15" s="26">
        <v>92.2</v>
      </c>
      <c r="K15" s="29">
        <v>106.244</v>
      </c>
      <c r="L15" s="29">
        <v>111.65300000000001</v>
      </c>
      <c r="M15" s="29">
        <v>106.928</v>
      </c>
      <c r="N15" s="29">
        <v>110.55200000000001</v>
      </c>
    </row>
    <row r="16" spans="1:14" ht="12" customHeight="1" x14ac:dyDescent="0.2">
      <c r="A16" s="3" t="s">
        <v>12</v>
      </c>
      <c r="B16" s="26">
        <v>12.4</v>
      </c>
      <c r="C16" s="27">
        <v>10.9</v>
      </c>
      <c r="D16" s="26">
        <v>10.9</v>
      </c>
      <c r="E16" s="27">
        <v>10.403</v>
      </c>
      <c r="F16" s="26">
        <v>9.452</v>
      </c>
      <c r="G16" s="26">
        <v>10.456</v>
      </c>
      <c r="H16" s="28">
        <v>9.3740000000000006</v>
      </c>
      <c r="I16" s="28">
        <v>9.8390000000000004</v>
      </c>
      <c r="J16" s="26">
        <v>8.9</v>
      </c>
      <c r="K16" s="29">
        <v>7.7619999999999996</v>
      </c>
      <c r="L16" s="29">
        <v>9.01</v>
      </c>
      <c r="M16" s="29">
        <v>7.7009999999999996</v>
      </c>
      <c r="N16" s="29">
        <v>7.7229999999999999</v>
      </c>
    </row>
    <row r="17" spans="1:14" ht="12" customHeight="1" x14ac:dyDescent="0.2">
      <c r="A17" s="3" t="s">
        <v>13</v>
      </c>
      <c r="B17" s="26">
        <v>26</v>
      </c>
      <c r="C17" s="27">
        <v>18.8</v>
      </c>
      <c r="D17" s="26">
        <v>23.7</v>
      </c>
      <c r="E17" s="27">
        <v>23.141999999999999</v>
      </c>
      <c r="F17" s="26">
        <v>23.577000000000002</v>
      </c>
      <c r="G17" s="26">
        <v>15.551</v>
      </c>
      <c r="H17" s="28">
        <v>14.14</v>
      </c>
      <c r="I17" s="28">
        <v>16.097000000000001</v>
      </c>
      <c r="J17" s="26">
        <v>15.5</v>
      </c>
      <c r="K17" s="29">
        <v>15.241</v>
      </c>
      <c r="L17" s="29">
        <v>14.704000000000001</v>
      </c>
      <c r="M17" s="29">
        <v>13.327999999999999</v>
      </c>
      <c r="N17" s="29">
        <v>12.087</v>
      </c>
    </row>
    <row r="18" spans="1:14" ht="12" customHeight="1" x14ac:dyDescent="0.2">
      <c r="A18" s="3" t="s">
        <v>14</v>
      </c>
      <c r="B18" s="26">
        <v>12.6</v>
      </c>
      <c r="C18" s="27">
        <v>15.2</v>
      </c>
      <c r="D18" s="26">
        <v>15.6</v>
      </c>
      <c r="E18" s="27">
        <v>16.337</v>
      </c>
      <c r="F18" s="26">
        <v>15.702999999999999</v>
      </c>
      <c r="G18" s="26">
        <v>14.989000000000001</v>
      </c>
      <c r="H18" s="28">
        <v>14.571</v>
      </c>
      <c r="I18" s="28">
        <v>12.831</v>
      </c>
      <c r="J18" s="26">
        <v>11.9</v>
      </c>
      <c r="K18" s="29">
        <v>12.188000000000001</v>
      </c>
      <c r="L18" s="29">
        <v>11.715</v>
      </c>
      <c r="M18" s="29">
        <v>10.385</v>
      </c>
      <c r="N18" s="29">
        <v>8.3919999999999995</v>
      </c>
    </row>
    <row r="19" spans="1:14" ht="12" customHeight="1" x14ac:dyDescent="0.2">
      <c r="A19" s="3" t="s">
        <v>15</v>
      </c>
      <c r="B19" s="26">
        <v>13.5</v>
      </c>
      <c r="C19" s="27">
        <v>13.5</v>
      </c>
      <c r="D19" s="26">
        <v>13.1</v>
      </c>
      <c r="E19" s="27">
        <v>13.256</v>
      </c>
      <c r="F19" s="26">
        <v>12.946</v>
      </c>
      <c r="G19" s="26">
        <v>12.855</v>
      </c>
      <c r="H19" s="28">
        <v>12.547000000000001</v>
      </c>
      <c r="I19" s="28">
        <v>11.587999999999999</v>
      </c>
      <c r="J19" s="26">
        <v>9.8000000000000007</v>
      </c>
      <c r="K19" s="29">
        <v>9.25</v>
      </c>
      <c r="L19" s="29">
        <v>8.7390000000000008</v>
      </c>
      <c r="M19" s="29">
        <v>8.09</v>
      </c>
      <c r="N19" s="29">
        <v>7.9340000000000002</v>
      </c>
    </row>
    <row r="20" spans="1:14" ht="12" customHeight="1" x14ac:dyDescent="0.2">
      <c r="A20" s="3" t="s">
        <v>16</v>
      </c>
      <c r="B20" s="26">
        <v>19.2</v>
      </c>
      <c r="C20" s="27">
        <v>20.399999999999999</v>
      </c>
      <c r="D20" s="26">
        <v>20.399999999999999</v>
      </c>
      <c r="E20" s="27">
        <v>17.277999999999999</v>
      </c>
      <c r="F20" s="26">
        <v>16.007999999999999</v>
      </c>
      <c r="G20" s="26">
        <v>15.914</v>
      </c>
      <c r="H20" s="28">
        <v>16.146000000000001</v>
      </c>
      <c r="I20" s="28">
        <v>15.926</v>
      </c>
      <c r="J20" s="26">
        <v>16.399999999999999</v>
      </c>
      <c r="K20" s="29">
        <v>15.598000000000001</v>
      </c>
      <c r="L20" s="29">
        <v>15.563000000000001</v>
      </c>
      <c r="M20" s="29">
        <v>14.923999999999999</v>
      </c>
      <c r="N20" s="29">
        <v>14.356</v>
      </c>
    </row>
    <row r="21" spans="1:14" ht="12" customHeight="1" x14ac:dyDescent="0.2">
      <c r="A21" s="3" t="s">
        <v>17</v>
      </c>
      <c r="B21" s="26">
        <v>20.8</v>
      </c>
      <c r="C21" s="27">
        <v>22.9</v>
      </c>
      <c r="D21" s="26">
        <v>20.399999999999999</v>
      </c>
      <c r="E21" s="27">
        <v>19.658000000000001</v>
      </c>
      <c r="F21" s="26">
        <v>19.568999999999999</v>
      </c>
      <c r="G21" s="26">
        <v>18.245999999999999</v>
      </c>
      <c r="H21" s="28">
        <v>17.456</v>
      </c>
      <c r="I21" s="28">
        <v>17.667000000000002</v>
      </c>
      <c r="J21" s="26">
        <v>18.399999999999999</v>
      </c>
      <c r="K21" s="29">
        <v>19.736000000000001</v>
      </c>
      <c r="L21" s="29">
        <v>20.965</v>
      </c>
      <c r="M21" s="29">
        <v>20.274000000000001</v>
      </c>
      <c r="N21" s="29">
        <v>20.283000000000001</v>
      </c>
    </row>
    <row r="22" spans="1:14" ht="12" customHeight="1" x14ac:dyDescent="0.2">
      <c r="A22" s="3" t="s">
        <v>18</v>
      </c>
      <c r="B22" s="26">
        <v>25.6</v>
      </c>
      <c r="C22" s="27">
        <v>24.3</v>
      </c>
      <c r="D22" s="26">
        <v>22.2</v>
      </c>
      <c r="E22" s="27">
        <v>24.954000000000001</v>
      </c>
      <c r="F22" s="26">
        <v>22.963999999999999</v>
      </c>
      <c r="G22" s="26">
        <v>21.074000000000002</v>
      </c>
      <c r="H22" s="28">
        <v>19.866</v>
      </c>
      <c r="I22" s="28">
        <v>17.521999999999998</v>
      </c>
      <c r="J22" s="26">
        <v>16.399999999999999</v>
      </c>
      <c r="K22" s="29">
        <v>18.193000000000001</v>
      </c>
      <c r="L22" s="29">
        <v>18.562999999999999</v>
      </c>
      <c r="M22" s="29">
        <v>17.916</v>
      </c>
      <c r="N22" s="29">
        <v>17.619</v>
      </c>
    </row>
    <row r="23" spans="1:14" ht="12" customHeight="1" x14ac:dyDescent="0.2">
      <c r="A23" s="3" t="s">
        <v>19</v>
      </c>
      <c r="B23" s="26">
        <v>369.7</v>
      </c>
      <c r="C23" s="27">
        <v>596.9</v>
      </c>
      <c r="D23" s="26">
        <v>316.89999999999998</v>
      </c>
      <c r="E23" s="27">
        <v>404.97699999999998</v>
      </c>
      <c r="F23" s="26">
        <v>351.38499999999999</v>
      </c>
      <c r="G23" s="26">
        <v>332.96899999999999</v>
      </c>
      <c r="H23" s="28">
        <v>313.77100000000002</v>
      </c>
      <c r="I23" s="28">
        <v>293.45699999999999</v>
      </c>
      <c r="J23" s="26">
        <v>301.8</v>
      </c>
      <c r="K23" s="29">
        <v>288.27600000000001</v>
      </c>
      <c r="L23" s="29">
        <v>293.202</v>
      </c>
      <c r="M23" s="29">
        <v>312.952</v>
      </c>
      <c r="N23" s="29">
        <v>344.13900000000001</v>
      </c>
    </row>
    <row r="24" spans="1:14" s="7" customFormat="1" ht="21" customHeight="1" x14ac:dyDescent="0.2">
      <c r="A24" s="23" t="s">
        <v>144</v>
      </c>
      <c r="B24" s="18">
        <v>341.6</v>
      </c>
      <c r="C24" s="19">
        <v>320.8</v>
      </c>
      <c r="D24" s="18">
        <v>334.3</v>
      </c>
      <c r="E24" s="19">
        <v>343.86799999999999</v>
      </c>
      <c r="F24" s="18">
        <v>337.98899999999998</v>
      </c>
      <c r="G24" s="18">
        <v>330.25700000000001</v>
      </c>
      <c r="H24" s="24">
        <v>314.88900000000001</v>
      </c>
      <c r="I24" s="24">
        <v>301.39100000000002</v>
      </c>
      <c r="J24" s="18">
        <v>294.39999999999998</v>
      </c>
      <c r="K24" s="25">
        <v>300.26400000000001</v>
      </c>
      <c r="L24" s="25">
        <v>310.44400000000002</v>
      </c>
      <c r="M24" s="25">
        <v>303.98399999999998</v>
      </c>
      <c r="N24" s="25">
        <v>298.98899999999998</v>
      </c>
    </row>
    <row r="25" spans="1:14" ht="12" customHeight="1" x14ac:dyDescent="0.2">
      <c r="A25" s="3" t="s">
        <v>20</v>
      </c>
      <c r="B25" s="26">
        <v>9.6</v>
      </c>
      <c r="C25" s="27">
        <v>8.1999999999999993</v>
      </c>
      <c r="D25" s="26">
        <v>7.4</v>
      </c>
      <c r="E25" s="27">
        <v>8.0920000000000005</v>
      </c>
      <c r="F25" s="26">
        <v>7.8970000000000002</v>
      </c>
      <c r="G25" s="26">
        <v>7.6680000000000001</v>
      </c>
      <c r="H25" s="28">
        <v>7.3579999999999997</v>
      </c>
      <c r="I25" s="28">
        <v>6.9059999999999997</v>
      </c>
      <c r="J25" s="26">
        <v>9.1</v>
      </c>
      <c r="K25" s="29">
        <v>9.1470000000000002</v>
      </c>
      <c r="L25" s="29">
        <v>8.7089999999999996</v>
      </c>
      <c r="M25" s="29">
        <v>8.5009999999999994</v>
      </c>
      <c r="N25" s="29">
        <v>8.3149999999999995</v>
      </c>
    </row>
    <row r="26" spans="1:14" ht="12" customHeight="1" x14ac:dyDescent="0.2">
      <c r="A26" s="3" t="s">
        <v>21</v>
      </c>
      <c r="B26" s="26">
        <v>26.7</v>
      </c>
      <c r="C26" s="27">
        <v>27.6</v>
      </c>
      <c r="D26" s="26">
        <v>28.5</v>
      </c>
      <c r="E26" s="27">
        <v>34.034999999999997</v>
      </c>
      <c r="F26" s="26">
        <v>33.636000000000003</v>
      </c>
      <c r="G26" s="26">
        <v>28.106000000000002</v>
      </c>
      <c r="H26" s="28">
        <v>23.12</v>
      </c>
      <c r="I26" s="28">
        <v>21.314</v>
      </c>
      <c r="J26" s="26">
        <v>15.7</v>
      </c>
      <c r="K26" s="29">
        <v>17.812000000000001</v>
      </c>
      <c r="L26" s="29">
        <v>17.779</v>
      </c>
      <c r="M26" s="29">
        <v>17.597000000000001</v>
      </c>
      <c r="N26" s="29">
        <v>13.39</v>
      </c>
    </row>
    <row r="27" spans="1:14" ht="12" customHeight="1" x14ac:dyDescent="0.2">
      <c r="A27" s="3" t="s">
        <v>22</v>
      </c>
      <c r="B27" s="26">
        <v>17.8</v>
      </c>
      <c r="C27" s="27">
        <v>18</v>
      </c>
      <c r="D27" s="26">
        <v>20.100000000000001</v>
      </c>
      <c r="E27" s="27">
        <v>17.780999999999999</v>
      </c>
      <c r="F27" s="26">
        <v>17.913</v>
      </c>
      <c r="G27" s="26">
        <v>16.437999999999999</v>
      </c>
      <c r="H27" s="28">
        <v>14.951000000000001</v>
      </c>
      <c r="I27" s="28">
        <v>15.063000000000001</v>
      </c>
      <c r="J27" s="26">
        <v>14.1</v>
      </c>
      <c r="K27" s="29">
        <v>14.154999999999999</v>
      </c>
      <c r="L27" s="29">
        <v>13.013</v>
      </c>
      <c r="M27" s="29">
        <v>13.009</v>
      </c>
      <c r="N27" s="29">
        <v>13.472</v>
      </c>
    </row>
    <row r="28" spans="1:14" ht="9.6" customHeight="1" x14ac:dyDescent="0.2">
      <c r="A28" s="30" t="s">
        <v>63</v>
      </c>
      <c r="B28" s="26"/>
      <c r="C28" s="27"/>
      <c r="D28" s="26"/>
      <c r="E28" s="27"/>
      <c r="F28" s="26"/>
      <c r="G28" s="26"/>
      <c r="H28" s="28"/>
      <c r="I28" s="26"/>
      <c r="J28" s="31"/>
      <c r="K28" s="29"/>
      <c r="L28" s="29"/>
      <c r="M28" s="29"/>
      <c r="N28" s="29"/>
    </row>
    <row r="29" spans="1:14" x14ac:dyDescent="0.2">
      <c r="A29" s="6" t="s">
        <v>24</v>
      </c>
      <c r="B29" s="26">
        <v>1.7</v>
      </c>
      <c r="C29" s="27">
        <v>3</v>
      </c>
      <c r="D29" s="26">
        <v>3.7</v>
      </c>
      <c r="E29" s="27">
        <v>2.948</v>
      </c>
      <c r="F29" s="26">
        <v>2.5209999999999999</v>
      </c>
      <c r="G29" s="26">
        <v>2.6659999999999999</v>
      </c>
      <c r="H29" s="28">
        <v>2.0249999999999999</v>
      </c>
      <c r="I29" s="28">
        <v>2.456</v>
      </c>
      <c r="J29" s="26">
        <v>2.2999999999999998</v>
      </c>
      <c r="K29" s="29">
        <v>2.5289999999999999</v>
      </c>
      <c r="L29" s="29">
        <v>2.4209999999999998</v>
      </c>
      <c r="M29" s="29">
        <v>2.198</v>
      </c>
      <c r="N29" s="29">
        <v>2.266</v>
      </c>
    </row>
    <row r="30" spans="1:14" ht="18.95" customHeight="1" x14ac:dyDescent="0.2">
      <c r="A30" s="6" t="s">
        <v>87</v>
      </c>
      <c r="B30" s="26">
        <v>16.100000000000001</v>
      </c>
      <c r="C30" s="27">
        <v>15</v>
      </c>
      <c r="D30" s="26">
        <v>16.399999999999999</v>
      </c>
      <c r="E30" s="27">
        <v>14.833</v>
      </c>
      <c r="F30" s="26">
        <v>15.391999999999999</v>
      </c>
      <c r="G30" s="26">
        <v>13.772</v>
      </c>
      <c r="H30" s="28">
        <v>12.926</v>
      </c>
      <c r="I30" s="28">
        <v>12.606999999999999</v>
      </c>
      <c r="J30" s="26">
        <v>11.8</v>
      </c>
      <c r="K30" s="29">
        <v>11.627000000000001</v>
      </c>
      <c r="L30" s="29">
        <v>10.592000000000001</v>
      </c>
      <c r="M30" s="29">
        <v>10.811</v>
      </c>
      <c r="N30" s="29">
        <v>11.206</v>
      </c>
    </row>
    <row r="31" spans="1:14" ht="12" customHeight="1" x14ac:dyDescent="0.2">
      <c r="A31" s="3" t="s">
        <v>25</v>
      </c>
      <c r="B31" s="26">
        <v>26.2</v>
      </c>
      <c r="C31" s="27">
        <v>20.7</v>
      </c>
      <c r="D31" s="26">
        <v>23.5</v>
      </c>
      <c r="E31" s="27">
        <v>26.766999999999999</v>
      </c>
      <c r="F31" s="26">
        <v>23.466999999999999</v>
      </c>
      <c r="G31" s="26">
        <v>22.03</v>
      </c>
      <c r="H31" s="28">
        <v>20.939</v>
      </c>
      <c r="I31" s="28">
        <v>20.954999999999998</v>
      </c>
      <c r="J31" s="26">
        <v>21.5</v>
      </c>
      <c r="K31" s="29">
        <v>24.109000000000002</v>
      </c>
      <c r="L31" s="29">
        <v>23.023</v>
      </c>
      <c r="M31" s="29">
        <v>23.641999999999999</v>
      </c>
      <c r="N31" s="29">
        <v>23.324000000000002</v>
      </c>
    </row>
    <row r="32" spans="1:14" ht="12" customHeight="1" x14ac:dyDescent="0.2">
      <c r="A32" s="3" t="s">
        <v>26</v>
      </c>
      <c r="B32" s="26">
        <v>21.6</v>
      </c>
      <c r="C32" s="27">
        <v>20</v>
      </c>
      <c r="D32" s="26">
        <v>20.5</v>
      </c>
      <c r="E32" s="27">
        <v>19.460999999999999</v>
      </c>
      <c r="F32" s="26">
        <v>19.774000000000001</v>
      </c>
      <c r="G32" s="26">
        <v>21.466999999999999</v>
      </c>
      <c r="H32" s="28">
        <v>20.38</v>
      </c>
      <c r="I32" s="28">
        <v>20.962</v>
      </c>
      <c r="J32" s="26">
        <v>24.4</v>
      </c>
      <c r="K32" s="29">
        <v>23.981999999999999</v>
      </c>
      <c r="L32" s="29">
        <v>21.12</v>
      </c>
      <c r="M32" s="29">
        <v>20.917000000000002</v>
      </c>
      <c r="N32" s="29">
        <v>18.885999999999999</v>
      </c>
    </row>
    <row r="33" spans="1:14" ht="12" customHeight="1" x14ac:dyDescent="0.2">
      <c r="A33" s="3" t="s">
        <v>27</v>
      </c>
      <c r="B33" s="26">
        <v>41.4</v>
      </c>
      <c r="C33" s="27">
        <v>44.9</v>
      </c>
      <c r="D33" s="26">
        <v>47.6</v>
      </c>
      <c r="E33" s="27">
        <v>47.701000000000001</v>
      </c>
      <c r="F33" s="26">
        <v>46.429000000000002</v>
      </c>
      <c r="G33" s="26">
        <v>48.344999999999999</v>
      </c>
      <c r="H33" s="28">
        <v>46.542999999999999</v>
      </c>
      <c r="I33" s="28">
        <v>45.64</v>
      </c>
      <c r="J33" s="26">
        <v>52.6</v>
      </c>
      <c r="K33" s="29">
        <v>57.86</v>
      </c>
      <c r="L33" s="29">
        <v>58.164999999999999</v>
      </c>
      <c r="M33" s="29">
        <v>53.103999999999999</v>
      </c>
      <c r="N33" s="29">
        <v>45.256999999999998</v>
      </c>
    </row>
    <row r="34" spans="1:14" ht="12" customHeight="1" x14ac:dyDescent="0.2">
      <c r="A34" s="3" t="s">
        <v>28</v>
      </c>
      <c r="B34" s="26">
        <v>14.9</v>
      </c>
      <c r="C34" s="27">
        <v>10.199999999999999</v>
      </c>
      <c r="D34" s="26">
        <v>9.9</v>
      </c>
      <c r="E34" s="27">
        <v>11.363</v>
      </c>
      <c r="F34" s="26">
        <v>11.52</v>
      </c>
      <c r="G34" s="26">
        <v>10.57</v>
      </c>
      <c r="H34" s="28">
        <v>10.99</v>
      </c>
      <c r="I34" s="28">
        <v>10.108000000000001</v>
      </c>
      <c r="J34" s="26">
        <v>10.1</v>
      </c>
      <c r="K34" s="29">
        <v>11.62</v>
      </c>
      <c r="L34" s="29">
        <v>16.989999999999998</v>
      </c>
      <c r="M34" s="29">
        <v>18.937000000000001</v>
      </c>
      <c r="N34" s="29">
        <v>21.018999999999998</v>
      </c>
    </row>
    <row r="35" spans="1:14" ht="12" customHeight="1" x14ac:dyDescent="0.2">
      <c r="A35" s="3" t="s">
        <v>29</v>
      </c>
      <c r="B35" s="26">
        <v>11.3</v>
      </c>
      <c r="C35" s="27">
        <v>12.2</v>
      </c>
      <c r="D35" s="26">
        <v>12.6</v>
      </c>
      <c r="E35" s="27">
        <v>12.8</v>
      </c>
      <c r="F35" s="26">
        <v>13.728999999999999</v>
      </c>
      <c r="G35" s="26">
        <v>12.189</v>
      </c>
      <c r="H35" s="28">
        <v>8.609</v>
      </c>
      <c r="I35" s="28">
        <v>8.1489999999999991</v>
      </c>
      <c r="J35" s="26">
        <v>9</v>
      </c>
      <c r="K35" s="29">
        <v>8.3819999999999997</v>
      </c>
      <c r="L35" s="29">
        <v>6.923</v>
      </c>
      <c r="M35" s="29">
        <v>6.0759999999999996</v>
      </c>
      <c r="N35" s="29">
        <v>5.0750000000000002</v>
      </c>
    </row>
    <row r="36" spans="1:14" ht="12" customHeight="1" x14ac:dyDescent="0.2">
      <c r="A36" s="3" t="s">
        <v>30</v>
      </c>
      <c r="B36" s="26">
        <v>11</v>
      </c>
      <c r="C36" s="27">
        <v>8.6</v>
      </c>
      <c r="D36" s="26">
        <v>9.8000000000000007</v>
      </c>
      <c r="E36" s="27">
        <v>10.089</v>
      </c>
      <c r="F36" s="26">
        <v>10.067</v>
      </c>
      <c r="G36" s="26">
        <v>10.090999999999999</v>
      </c>
      <c r="H36" s="28">
        <v>9.8949999999999996</v>
      </c>
      <c r="I36" s="28">
        <v>8.2560000000000002</v>
      </c>
      <c r="J36" s="26">
        <v>9.8000000000000007</v>
      </c>
      <c r="K36" s="29">
        <v>9.0410000000000004</v>
      </c>
      <c r="L36" s="29">
        <v>8.2289999999999992</v>
      </c>
      <c r="M36" s="29">
        <v>7.0890000000000004</v>
      </c>
      <c r="N36" s="29">
        <v>5.0830000000000002</v>
      </c>
    </row>
    <row r="37" spans="1:14" ht="12" customHeight="1" x14ac:dyDescent="0.2">
      <c r="A37" s="3" t="s">
        <v>31</v>
      </c>
      <c r="B37" s="26">
        <v>161.30000000000001</v>
      </c>
      <c r="C37" s="27">
        <v>150.4</v>
      </c>
      <c r="D37" s="26">
        <v>154.4</v>
      </c>
      <c r="E37" s="27">
        <v>155.779</v>
      </c>
      <c r="F37" s="26">
        <v>153.55699999999999</v>
      </c>
      <c r="G37" s="26">
        <v>153.35300000000001</v>
      </c>
      <c r="H37" s="28">
        <v>152.10400000000001</v>
      </c>
      <c r="I37" s="28">
        <v>144.03800000000001</v>
      </c>
      <c r="J37" s="26">
        <v>128.1</v>
      </c>
      <c r="K37" s="29">
        <v>124.15600000000001</v>
      </c>
      <c r="L37" s="29">
        <v>136.49100000000001</v>
      </c>
      <c r="M37" s="29">
        <v>135.11099999999999</v>
      </c>
      <c r="N37" s="29">
        <v>145.167</v>
      </c>
    </row>
    <row r="38" spans="1:14" s="7" customFormat="1" x14ac:dyDescent="0.2">
      <c r="A38" s="23" t="s">
        <v>134</v>
      </c>
      <c r="B38" s="18">
        <v>232.4</v>
      </c>
      <c r="C38" s="19">
        <v>243</v>
      </c>
      <c r="D38" s="18">
        <v>230.2</v>
      </c>
      <c r="E38" s="19">
        <v>239.95099999999999</v>
      </c>
      <c r="F38" s="18">
        <v>237.619</v>
      </c>
      <c r="G38" s="18">
        <v>215.67500000000001</v>
      </c>
      <c r="H38" s="24">
        <v>200.75800000000001</v>
      </c>
      <c r="I38" s="24">
        <v>191.14699999999999</v>
      </c>
      <c r="J38" s="18">
        <v>191.8</v>
      </c>
      <c r="K38" s="25">
        <v>193.619</v>
      </c>
      <c r="L38" s="25">
        <v>187.93100000000001</v>
      </c>
      <c r="M38" s="25">
        <v>175.07900000000001</v>
      </c>
      <c r="N38" s="25">
        <v>169.535</v>
      </c>
    </row>
    <row r="39" spans="1:14" ht="12" customHeight="1" x14ac:dyDescent="0.2">
      <c r="A39" s="3" t="s">
        <v>32</v>
      </c>
      <c r="B39" s="26">
        <v>5</v>
      </c>
      <c r="C39" s="27">
        <v>5.2</v>
      </c>
      <c r="D39" s="26">
        <v>5.3</v>
      </c>
      <c r="E39" s="27">
        <v>5.4080000000000004</v>
      </c>
      <c r="F39" s="26">
        <v>5.0780000000000003</v>
      </c>
      <c r="G39" s="26">
        <v>4.8319999999999999</v>
      </c>
      <c r="H39" s="28">
        <v>4.3460000000000001</v>
      </c>
      <c r="I39" s="28">
        <v>4.1559999999999997</v>
      </c>
      <c r="J39" s="26">
        <v>3.9</v>
      </c>
      <c r="K39" s="29">
        <v>4.0650000000000004</v>
      </c>
      <c r="L39" s="29">
        <v>3.758</v>
      </c>
      <c r="M39" s="29">
        <v>3.8330000000000002</v>
      </c>
      <c r="N39" s="29">
        <v>3.5</v>
      </c>
    </row>
    <row r="40" spans="1:14" ht="12" customHeight="1" x14ac:dyDescent="0.2">
      <c r="A40" s="3" t="s">
        <v>33</v>
      </c>
      <c r="B40" s="26">
        <v>2.2000000000000002</v>
      </c>
      <c r="C40" s="27">
        <v>1.8</v>
      </c>
      <c r="D40" s="26">
        <v>1.7</v>
      </c>
      <c r="E40" s="27">
        <v>1.7989999999999999</v>
      </c>
      <c r="F40" s="26">
        <v>1.7969999999999999</v>
      </c>
      <c r="G40" s="26">
        <v>1.905</v>
      </c>
      <c r="H40" s="28">
        <v>1.6060000000000001</v>
      </c>
      <c r="I40" s="28">
        <v>1.3120000000000001</v>
      </c>
      <c r="J40" s="26">
        <v>2.4</v>
      </c>
      <c r="K40" s="29">
        <v>1.3069999999999999</v>
      </c>
      <c r="L40" s="29">
        <v>1.1779999999999999</v>
      </c>
      <c r="M40" s="29">
        <v>1.0980000000000001</v>
      </c>
      <c r="N40" s="29">
        <v>1.083</v>
      </c>
    </row>
    <row r="41" spans="1:14" ht="12" customHeight="1" x14ac:dyDescent="0.2">
      <c r="A41" s="3" t="s">
        <v>119</v>
      </c>
      <c r="B41" s="26"/>
      <c r="C41" s="27"/>
      <c r="D41" s="26"/>
      <c r="E41" s="27"/>
      <c r="F41" s="26"/>
      <c r="G41" s="26" t="s">
        <v>44</v>
      </c>
      <c r="H41" s="28">
        <v>7.5650000000000004</v>
      </c>
      <c r="I41" s="28">
        <v>9.5630000000000006</v>
      </c>
      <c r="J41" s="26">
        <v>13.7</v>
      </c>
      <c r="K41" s="29">
        <v>17.678000000000001</v>
      </c>
      <c r="L41" s="29">
        <v>18.152999999999999</v>
      </c>
      <c r="M41" s="29">
        <v>17.152999999999999</v>
      </c>
      <c r="N41" s="29">
        <v>15.750999999999999</v>
      </c>
    </row>
    <row r="42" spans="1:14" ht="12" customHeight="1" x14ac:dyDescent="0.2">
      <c r="A42" s="3" t="s">
        <v>34</v>
      </c>
      <c r="B42" s="26">
        <v>97.3</v>
      </c>
      <c r="C42" s="27">
        <v>108.5</v>
      </c>
      <c r="D42" s="26">
        <v>110.7</v>
      </c>
      <c r="E42" s="27">
        <v>116.56399999999999</v>
      </c>
      <c r="F42" s="26">
        <v>117.96899999999999</v>
      </c>
      <c r="G42" s="26">
        <v>100.724</v>
      </c>
      <c r="H42" s="28">
        <v>93.427000000000007</v>
      </c>
      <c r="I42" s="28">
        <v>82.152000000000001</v>
      </c>
      <c r="J42" s="26">
        <v>79</v>
      </c>
      <c r="K42" s="29">
        <v>79.421000000000006</v>
      </c>
      <c r="L42" s="29">
        <v>79.713999999999999</v>
      </c>
      <c r="M42" s="29">
        <v>70.730999999999995</v>
      </c>
      <c r="N42" s="29">
        <v>68.453000000000003</v>
      </c>
    </row>
    <row r="43" spans="1:14" ht="12" customHeight="1" x14ac:dyDescent="0.2">
      <c r="A43" s="3" t="s">
        <v>35</v>
      </c>
      <c r="B43" s="26">
        <v>22</v>
      </c>
      <c r="C43" s="27">
        <v>19.3</v>
      </c>
      <c r="D43" s="26">
        <v>17</v>
      </c>
      <c r="E43" s="27">
        <v>15.629</v>
      </c>
      <c r="F43" s="26">
        <v>13.653</v>
      </c>
      <c r="G43" s="26">
        <v>13.864000000000001</v>
      </c>
      <c r="H43" s="28">
        <v>11.78</v>
      </c>
      <c r="I43" s="28">
        <v>9.6999999999999993</v>
      </c>
      <c r="J43" s="26">
        <v>9.8000000000000007</v>
      </c>
      <c r="K43" s="29">
        <v>10.843999999999999</v>
      </c>
      <c r="L43" s="29">
        <v>11.884</v>
      </c>
      <c r="M43" s="29">
        <v>10.773</v>
      </c>
      <c r="N43" s="29">
        <v>9.798</v>
      </c>
    </row>
    <row r="44" spans="1:14" ht="12" customHeight="1" x14ac:dyDescent="0.2">
      <c r="A44" s="3" t="s">
        <v>36</v>
      </c>
      <c r="B44" s="26">
        <v>47.8</v>
      </c>
      <c r="C44" s="27">
        <v>47.4</v>
      </c>
      <c r="D44" s="26">
        <v>40.700000000000003</v>
      </c>
      <c r="E44" s="27">
        <v>41.076999999999998</v>
      </c>
      <c r="F44" s="26">
        <v>40.378</v>
      </c>
      <c r="G44" s="26">
        <v>40.405000000000001</v>
      </c>
      <c r="H44" s="28">
        <v>40.174999999999997</v>
      </c>
      <c r="I44" s="28">
        <v>34.799999999999997</v>
      </c>
      <c r="J44" s="26">
        <v>30.7</v>
      </c>
      <c r="K44" s="29">
        <v>29.696000000000002</v>
      </c>
      <c r="L44" s="29">
        <v>25.786000000000001</v>
      </c>
      <c r="M44" s="29">
        <v>24.829000000000001</v>
      </c>
      <c r="N44" s="29">
        <v>24.863</v>
      </c>
    </row>
    <row r="45" spans="1:14" x14ac:dyDescent="0.2">
      <c r="A45" s="3" t="s">
        <v>37</v>
      </c>
      <c r="B45" s="26">
        <v>58.1</v>
      </c>
      <c r="C45" s="27">
        <v>60.8</v>
      </c>
      <c r="D45" s="26">
        <v>54.9</v>
      </c>
      <c r="E45" s="27">
        <v>59.473999999999997</v>
      </c>
      <c r="F45" s="26">
        <v>58.744</v>
      </c>
      <c r="G45" s="26">
        <v>53.945</v>
      </c>
      <c r="H45" s="28">
        <v>49.423999999999999</v>
      </c>
      <c r="I45" s="28">
        <v>44.936</v>
      </c>
      <c r="J45" s="26">
        <v>49</v>
      </c>
      <c r="K45" s="29">
        <v>46.399000000000001</v>
      </c>
      <c r="L45" s="29">
        <v>43.01</v>
      </c>
      <c r="M45" s="29">
        <v>42.055</v>
      </c>
      <c r="N45" s="29">
        <v>40.719000000000001</v>
      </c>
    </row>
    <row r="46" spans="1:14" ht="11.45" customHeight="1" x14ac:dyDescent="0.2">
      <c r="A46" s="3" t="s">
        <v>120</v>
      </c>
      <c r="B46" s="26"/>
      <c r="C46" s="27"/>
      <c r="D46" s="26"/>
      <c r="E46" s="27"/>
      <c r="F46" s="26"/>
      <c r="G46" s="27" t="s">
        <v>44</v>
      </c>
      <c r="H46" s="26">
        <v>3.82</v>
      </c>
      <c r="I46" s="28">
        <v>4.5339999999999998</v>
      </c>
      <c r="J46" s="26">
        <v>3.4</v>
      </c>
      <c r="K46" s="29">
        <v>4.2089999999999996</v>
      </c>
      <c r="L46" s="29">
        <v>4.4480000000000004</v>
      </c>
      <c r="M46" s="29">
        <v>4.6079999999999997</v>
      </c>
      <c r="N46" s="29">
        <v>5.367</v>
      </c>
    </row>
    <row r="47" spans="1:14" s="7" customFormat="1" ht="19.899999999999999" customHeight="1" x14ac:dyDescent="0.2">
      <c r="A47" s="23" t="s">
        <v>98</v>
      </c>
      <c r="B47" s="18">
        <v>75.3</v>
      </c>
      <c r="C47" s="19">
        <v>88.8</v>
      </c>
      <c r="D47" s="18">
        <v>82.4</v>
      </c>
      <c r="E47" s="19">
        <v>87.790999999999997</v>
      </c>
      <c r="F47" s="18">
        <v>86.822000000000003</v>
      </c>
      <c r="G47" s="18">
        <v>83.953999999999994</v>
      </c>
      <c r="H47" s="24">
        <v>79.429000000000002</v>
      </c>
      <c r="I47" s="24">
        <v>71.054000000000002</v>
      </c>
      <c r="J47" s="18">
        <v>65.8</v>
      </c>
      <c r="K47" s="25">
        <v>66.971999999999994</v>
      </c>
      <c r="L47" s="25">
        <v>69.995000000000005</v>
      </c>
      <c r="M47" s="25">
        <v>66.647999999999996</v>
      </c>
      <c r="N47" s="25">
        <v>63.212000000000003</v>
      </c>
    </row>
    <row r="48" spans="1:14" ht="12" customHeight="1" x14ac:dyDescent="0.2">
      <c r="A48" s="3" t="s">
        <v>38</v>
      </c>
      <c r="B48" s="26">
        <v>15.6</v>
      </c>
      <c r="C48" s="27">
        <v>20.3</v>
      </c>
      <c r="D48" s="26">
        <v>17.2</v>
      </c>
      <c r="E48" s="27">
        <v>13.494</v>
      </c>
      <c r="F48" s="18">
        <v>12.472</v>
      </c>
      <c r="G48" s="26">
        <v>13.938000000000001</v>
      </c>
      <c r="H48" s="28">
        <v>12.954000000000001</v>
      </c>
      <c r="I48" s="28">
        <v>8.5190000000000001</v>
      </c>
      <c r="J48" s="26">
        <v>12.2</v>
      </c>
      <c r="K48" s="29">
        <v>15.929</v>
      </c>
      <c r="L48" s="29">
        <v>18.838999999999999</v>
      </c>
      <c r="M48" s="29">
        <v>17.024999999999999</v>
      </c>
      <c r="N48" s="29">
        <v>13.076000000000001</v>
      </c>
    </row>
    <row r="49" spans="1:14" ht="12" customHeight="1" x14ac:dyDescent="0.2">
      <c r="A49" s="3" t="s">
        <v>39</v>
      </c>
      <c r="B49" s="26">
        <v>0.9</v>
      </c>
      <c r="C49" s="27">
        <v>1.8</v>
      </c>
      <c r="D49" s="26">
        <v>1</v>
      </c>
      <c r="E49" s="27">
        <v>1.1359999999999999</v>
      </c>
      <c r="F49" s="26">
        <v>1.1619999999999999</v>
      </c>
      <c r="G49" s="26">
        <v>1.6479999999999999</v>
      </c>
      <c r="H49" s="28">
        <v>1.7050000000000001</v>
      </c>
      <c r="I49" s="28">
        <v>1.274</v>
      </c>
      <c r="J49" s="26">
        <v>1.1000000000000001</v>
      </c>
      <c r="K49" s="29">
        <v>1.7649999999999999</v>
      </c>
      <c r="L49" s="29">
        <v>1.413</v>
      </c>
      <c r="M49" s="29">
        <v>1.397</v>
      </c>
      <c r="N49" s="29">
        <v>1.2490000000000001</v>
      </c>
    </row>
    <row r="50" spans="1:14" ht="10.9" customHeight="1" x14ac:dyDescent="0.2">
      <c r="A50" s="3" t="s">
        <v>40</v>
      </c>
      <c r="B50" s="26">
        <v>7.5</v>
      </c>
      <c r="C50" s="27">
        <v>4</v>
      </c>
      <c r="D50" s="26">
        <v>3.3</v>
      </c>
      <c r="E50" s="27">
        <v>3.9609999999999999</v>
      </c>
      <c r="F50" s="26">
        <v>3.956</v>
      </c>
      <c r="G50" s="26">
        <v>4.1619999999999999</v>
      </c>
      <c r="H50" s="28">
        <v>4.5259999999999998</v>
      </c>
      <c r="I50" s="28">
        <v>4.7</v>
      </c>
      <c r="J50" s="26">
        <v>3.2</v>
      </c>
      <c r="K50" s="29">
        <v>3.706</v>
      </c>
      <c r="L50" s="29">
        <v>4.8650000000000002</v>
      </c>
      <c r="M50" s="29">
        <v>3.319</v>
      </c>
      <c r="N50" s="29">
        <v>3.78</v>
      </c>
    </row>
    <row r="51" spans="1:14" ht="12" customHeight="1" x14ac:dyDescent="0.2">
      <c r="A51" s="3" t="s">
        <v>41</v>
      </c>
      <c r="B51" s="26">
        <v>2.6</v>
      </c>
      <c r="C51" s="27">
        <v>3.3</v>
      </c>
      <c r="D51" s="26">
        <v>3.4</v>
      </c>
      <c r="E51" s="27">
        <v>3.8620000000000001</v>
      </c>
      <c r="F51" s="26">
        <v>3.492</v>
      </c>
      <c r="G51" s="26">
        <v>2.794</v>
      </c>
      <c r="H51" s="28">
        <v>2.6379999999999999</v>
      </c>
      <c r="I51" s="28">
        <v>2.1</v>
      </c>
      <c r="J51" s="26">
        <v>2</v>
      </c>
      <c r="K51" s="29">
        <v>2.2610000000000001</v>
      </c>
      <c r="L51" s="29">
        <v>1.98</v>
      </c>
      <c r="M51" s="29">
        <v>2.5609999999999999</v>
      </c>
      <c r="N51" s="29">
        <v>2.6549999999999998</v>
      </c>
    </row>
    <row r="52" spans="1:14" ht="18.600000000000001" customHeight="1" x14ac:dyDescent="0.2">
      <c r="A52" s="3" t="s">
        <v>42</v>
      </c>
      <c r="B52" s="26">
        <v>8.4</v>
      </c>
      <c r="C52" s="27">
        <v>4.8</v>
      </c>
      <c r="D52" s="26">
        <v>4.4000000000000004</v>
      </c>
      <c r="E52" s="27">
        <v>5.8929999999999998</v>
      </c>
      <c r="F52" s="26">
        <v>5.5129999999999999</v>
      </c>
      <c r="G52" s="26">
        <v>5.0229999999999997</v>
      </c>
      <c r="H52" s="28">
        <v>4.9260000000000002</v>
      </c>
      <c r="I52" s="28">
        <v>2.774</v>
      </c>
      <c r="J52" s="26">
        <v>2.5</v>
      </c>
      <c r="K52" s="29">
        <v>2.968</v>
      </c>
      <c r="L52" s="29">
        <v>4.1619999999999999</v>
      </c>
      <c r="M52" s="29">
        <v>2.8690000000000002</v>
      </c>
      <c r="N52" s="29">
        <v>3.4750000000000001</v>
      </c>
    </row>
    <row r="53" spans="1:14" ht="11.45" customHeight="1" x14ac:dyDescent="0.2">
      <c r="A53" s="3" t="s">
        <v>43</v>
      </c>
      <c r="B53" s="26" t="s">
        <v>44</v>
      </c>
      <c r="C53" s="27">
        <v>7.5</v>
      </c>
      <c r="D53" s="26">
        <v>5.9</v>
      </c>
      <c r="E53" s="27">
        <v>10.183</v>
      </c>
      <c r="F53" s="26">
        <v>10.537000000000001</v>
      </c>
      <c r="G53" s="26">
        <v>10.016</v>
      </c>
      <c r="H53" s="28">
        <v>8.7970000000000006</v>
      </c>
      <c r="I53" s="28">
        <v>5.9279999999999999</v>
      </c>
      <c r="J53" s="26">
        <v>3.9</v>
      </c>
      <c r="K53" s="29">
        <v>4.8940000000000001</v>
      </c>
      <c r="L53" s="29">
        <v>4.8769999999999998</v>
      </c>
      <c r="M53" s="29">
        <v>4.8339999999999996</v>
      </c>
      <c r="N53" s="29">
        <v>7.9790000000000001</v>
      </c>
    </row>
    <row r="54" spans="1:14" ht="12" customHeight="1" x14ac:dyDescent="0.2">
      <c r="A54" s="3" t="s">
        <v>45</v>
      </c>
      <c r="B54" s="26">
        <v>40.299999999999997</v>
      </c>
      <c r="C54" s="27">
        <v>47.1</v>
      </c>
      <c r="D54" s="26">
        <v>47.1</v>
      </c>
      <c r="E54" s="27">
        <v>49.262</v>
      </c>
      <c r="F54" s="26">
        <v>49.69</v>
      </c>
      <c r="G54" s="26">
        <v>46.372999999999998</v>
      </c>
      <c r="H54" s="28">
        <v>43.883000000000003</v>
      </c>
      <c r="I54" s="28">
        <v>45.728000000000002</v>
      </c>
      <c r="J54" s="26">
        <v>40.799999999999997</v>
      </c>
      <c r="K54" s="29">
        <v>35.448999999999998</v>
      </c>
      <c r="L54" s="29">
        <v>33.859000000000002</v>
      </c>
      <c r="M54" s="29">
        <v>34.643000000000001</v>
      </c>
      <c r="N54" s="29">
        <v>30.998000000000001</v>
      </c>
    </row>
    <row r="55" spans="1:14" s="7" customFormat="1" ht="18.75" x14ac:dyDescent="0.2">
      <c r="A55" s="23" t="s">
        <v>99</v>
      </c>
      <c r="B55" s="18">
        <v>611.6</v>
      </c>
      <c r="C55" s="19">
        <v>591.29999999999995</v>
      </c>
      <c r="D55" s="18">
        <v>593.79999999999995</v>
      </c>
      <c r="E55" s="19">
        <v>606.25900000000001</v>
      </c>
      <c r="F55" s="18">
        <v>598.57500000000005</v>
      </c>
      <c r="G55" s="18">
        <v>599.49099999999999</v>
      </c>
      <c r="H55" s="24">
        <v>582.98699999999997</v>
      </c>
      <c r="I55" s="24">
        <v>559.83199999999999</v>
      </c>
      <c r="J55" s="18">
        <v>553.1</v>
      </c>
      <c r="K55" s="25">
        <v>498.43299999999999</v>
      </c>
      <c r="L55" s="25">
        <v>487.59</v>
      </c>
      <c r="M55" s="25">
        <v>456.36799999999999</v>
      </c>
      <c r="N55" s="25">
        <v>436.37900000000002</v>
      </c>
    </row>
    <row r="56" spans="1:14" ht="12" customHeight="1" x14ac:dyDescent="0.2">
      <c r="A56" s="3" t="s">
        <v>46</v>
      </c>
      <c r="B56" s="26">
        <v>110.4</v>
      </c>
      <c r="C56" s="27">
        <v>81.599999999999994</v>
      </c>
      <c r="D56" s="26">
        <v>74.599999999999994</v>
      </c>
      <c r="E56" s="27">
        <v>87.052000000000007</v>
      </c>
      <c r="F56" s="26">
        <v>83.03</v>
      </c>
      <c r="G56" s="26">
        <v>82.117999999999995</v>
      </c>
      <c r="H56" s="28">
        <v>79.456000000000003</v>
      </c>
      <c r="I56" s="28">
        <v>74.908000000000001</v>
      </c>
      <c r="J56" s="26">
        <v>78.400000000000006</v>
      </c>
      <c r="K56" s="29">
        <v>73.427999999999997</v>
      </c>
      <c r="L56" s="29">
        <v>73.677999999999997</v>
      </c>
      <c r="M56" s="29">
        <v>66.412999999999997</v>
      </c>
      <c r="N56" s="29">
        <v>66.683999999999997</v>
      </c>
    </row>
    <row r="57" spans="1:14" ht="12" customHeight="1" x14ac:dyDescent="0.2">
      <c r="A57" s="3" t="s">
        <v>47</v>
      </c>
      <c r="B57" s="26">
        <v>9.9</v>
      </c>
      <c r="C57" s="27">
        <v>7.6</v>
      </c>
      <c r="D57" s="26">
        <v>8.5</v>
      </c>
      <c r="E57" s="27">
        <v>8.6319999999999997</v>
      </c>
      <c r="F57" s="26">
        <v>8.1</v>
      </c>
      <c r="G57" s="26">
        <v>8.16</v>
      </c>
      <c r="H57" s="28">
        <v>8.0950000000000006</v>
      </c>
      <c r="I57" s="28">
        <v>7.0659999999999998</v>
      </c>
      <c r="J57" s="26">
        <v>6.8</v>
      </c>
      <c r="K57" s="29">
        <v>5.3460000000000001</v>
      </c>
      <c r="L57" s="29">
        <v>4.891</v>
      </c>
      <c r="M57" s="29">
        <v>4.4349999999999996</v>
      </c>
      <c r="N57" s="29">
        <v>4.6189999999999998</v>
      </c>
    </row>
    <row r="58" spans="1:14" ht="12" customHeight="1" x14ac:dyDescent="0.2">
      <c r="A58" s="3" t="s">
        <v>48</v>
      </c>
      <c r="B58" s="26">
        <v>16.399999999999999</v>
      </c>
      <c r="C58" s="27">
        <v>14.1</v>
      </c>
      <c r="D58" s="26">
        <v>12.6</v>
      </c>
      <c r="E58" s="27">
        <v>13.247999999999999</v>
      </c>
      <c r="F58" s="26">
        <v>13.733000000000001</v>
      </c>
      <c r="G58" s="26">
        <v>10.355</v>
      </c>
      <c r="H58" s="28">
        <v>9.7870000000000008</v>
      </c>
      <c r="I58" s="28">
        <v>12.113</v>
      </c>
      <c r="J58" s="26">
        <v>10.3</v>
      </c>
      <c r="K58" s="29">
        <v>8.3260000000000005</v>
      </c>
      <c r="L58" s="29">
        <v>7.2610000000000001</v>
      </c>
      <c r="M58" s="29">
        <v>7.0919999999999996</v>
      </c>
      <c r="N58" s="29">
        <v>6.8869999999999996</v>
      </c>
    </row>
    <row r="59" spans="1:14" ht="12" customHeight="1" x14ac:dyDescent="0.2">
      <c r="A59" s="3" t="s">
        <v>49</v>
      </c>
      <c r="B59" s="26">
        <v>81.3</v>
      </c>
      <c r="C59" s="27">
        <v>104.4</v>
      </c>
      <c r="D59" s="26">
        <v>120.2</v>
      </c>
      <c r="E59" s="27">
        <v>120.163</v>
      </c>
      <c r="F59" s="26">
        <v>117.221</v>
      </c>
      <c r="G59" s="26">
        <v>105.587</v>
      </c>
      <c r="H59" s="28">
        <v>101.592</v>
      </c>
      <c r="I59" s="28">
        <v>105.873</v>
      </c>
      <c r="J59" s="26">
        <v>101</v>
      </c>
      <c r="K59" s="29">
        <v>83.283000000000001</v>
      </c>
      <c r="L59" s="29">
        <v>86.27</v>
      </c>
      <c r="M59" s="29">
        <v>91.353999999999999</v>
      </c>
      <c r="N59" s="29">
        <v>76.486000000000004</v>
      </c>
    </row>
    <row r="60" spans="1:14" ht="12" customHeight="1" x14ac:dyDescent="0.2">
      <c r="A60" s="3" t="s">
        <v>50</v>
      </c>
      <c r="B60" s="26">
        <v>25.7</v>
      </c>
      <c r="C60" s="27">
        <v>26</v>
      </c>
      <c r="D60" s="26">
        <v>23.2</v>
      </c>
      <c r="E60" s="27">
        <v>24.33</v>
      </c>
      <c r="F60" s="26">
        <v>27.068999999999999</v>
      </c>
      <c r="G60" s="26">
        <v>25.977</v>
      </c>
      <c r="H60" s="28">
        <v>28.864999999999998</v>
      </c>
      <c r="I60" s="28">
        <v>28.318999999999999</v>
      </c>
      <c r="J60" s="26">
        <v>23.2</v>
      </c>
      <c r="K60" s="29">
        <v>20.632000000000001</v>
      </c>
      <c r="L60" s="29">
        <v>22.126000000000001</v>
      </c>
      <c r="M60" s="29">
        <v>19.099</v>
      </c>
      <c r="N60" s="29">
        <v>19.516999999999999</v>
      </c>
    </row>
    <row r="61" spans="1:14" ht="12" customHeight="1" x14ac:dyDescent="0.2">
      <c r="A61" s="3" t="s">
        <v>51</v>
      </c>
      <c r="B61" s="26">
        <v>30.6</v>
      </c>
      <c r="C61" s="27">
        <v>28.6</v>
      </c>
      <c r="D61" s="26">
        <v>23.2</v>
      </c>
      <c r="E61" s="27">
        <v>22.388999999999999</v>
      </c>
      <c r="F61" s="26">
        <v>22.509</v>
      </c>
      <c r="G61" s="26">
        <v>21.74</v>
      </c>
      <c r="H61" s="28">
        <v>22.364000000000001</v>
      </c>
      <c r="I61" s="28">
        <v>18.690000000000001</v>
      </c>
      <c r="J61" s="26">
        <v>18.3</v>
      </c>
      <c r="K61" s="29">
        <v>18.032</v>
      </c>
      <c r="L61" s="29">
        <v>15.725</v>
      </c>
      <c r="M61" s="29">
        <v>14.726000000000001</v>
      </c>
      <c r="N61" s="29">
        <v>14.295</v>
      </c>
    </row>
    <row r="62" spans="1:14" ht="12" customHeight="1" x14ac:dyDescent="0.2">
      <c r="A62" s="3" t="s">
        <v>52</v>
      </c>
      <c r="B62" s="26">
        <v>43.1</v>
      </c>
      <c r="C62" s="27">
        <v>57.9</v>
      </c>
      <c r="D62" s="26">
        <v>53.4</v>
      </c>
      <c r="E62" s="27">
        <v>48.18</v>
      </c>
      <c r="F62" s="26">
        <v>44.183999999999997</v>
      </c>
      <c r="G62" s="26">
        <v>48.286999999999999</v>
      </c>
      <c r="H62" s="28">
        <v>47.279000000000003</v>
      </c>
      <c r="I62" s="28">
        <v>40.924999999999997</v>
      </c>
      <c r="J62" s="26">
        <v>46.4</v>
      </c>
      <c r="K62" s="29">
        <v>41.932000000000002</v>
      </c>
      <c r="L62" s="29">
        <v>41.529000000000003</v>
      </c>
      <c r="M62" s="29">
        <v>40.927999999999997</v>
      </c>
      <c r="N62" s="29">
        <v>38.728999999999999</v>
      </c>
    </row>
    <row r="63" spans="1:14" ht="12" customHeight="1" x14ac:dyDescent="0.2">
      <c r="A63" s="3" t="s">
        <v>53</v>
      </c>
      <c r="B63" s="26">
        <v>17.399999999999999</v>
      </c>
      <c r="C63" s="27">
        <v>16</v>
      </c>
      <c r="D63" s="26">
        <v>18.2</v>
      </c>
      <c r="E63" s="27">
        <v>18.754000000000001</v>
      </c>
      <c r="F63" s="26">
        <v>17.216999999999999</v>
      </c>
      <c r="G63" s="26">
        <v>18.414000000000001</v>
      </c>
      <c r="H63" s="28">
        <v>18.617999999999999</v>
      </c>
      <c r="I63" s="28">
        <v>16.916</v>
      </c>
      <c r="J63" s="26">
        <v>15.5</v>
      </c>
      <c r="K63" s="29">
        <v>13.382</v>
      </c>
      <c r="L63" s="29">
        <v>12.414999999999999</v>
      </c>
      <c r="M63" s="29">
        <v>11.646000000000001</v>
      </c>
      <c r="N63" s="29">
        <v>9.109</v>
      </c>
    </row>
    <row r="64" spans="1:14" ht="12" customHeight="1" x14ac:dyDescent="0.2">
      <c r="A64" s="3" t="s">
        <v>54</v>
      </c>
      <c r="B64" s="26">
        <v>99.3</v>
      </c>
      <c r="C64" s="27">
        <v>90.8</v>
      </c>
      <c r="D64" s="26">
        <v>89.3</v>
      </c>
      <c r="E64" s="27">
        <v>86.558000000000007</v>
      </c>
      <c r="F64" s="26">
        <v>89.29</v>
      </c>
      <c r="G64" s="26">
        <v>92.516999999999996</v>
      </c>
      <c r="H64" s="28">
        <v>85.07</v>
      </c>
      <c r="I64" s="28">
        <v>79.953999999999994</v>
      </c>
      <c r="J64" s="26">
        <v>81.400000000000006</v>
      </c>
      <c r="K64" s="29">
        <v>76.756</v>
      </c>
      <c r="L64" s="29">
        <v>74.453999999999994</v>
      </c>
      <c r="M64" s="29">
        <v>75.665000000000006</v>
      </c>
      <c r="N64" s="29">
        <v>77.195999999999998</v>
      </c>
    </row>
    <row r="65" spans="1:14" ht="12" customHeight="1" x14ac:dyDescent="0.2">
      <c r="A65" s="3" t="s">
        <v>55</v>
      </c>
      <c r="B65" s="26">
        <v>40.5</v>
      </c>
      <c r="C65" s="27">
        <v>45.8</v>
      </c>
      <c r="D65" s="26">
        <v>45.8</v>
      </c>
      <c r="E65" s="27">
        <v>45.43</v>
      </c>
      <c r="F65" s="26">
        <v>44.9</v>
      </c>
      <c r="G65" s="26">
        <v>46.286999999999999</v>
      </c>
      <c r="H65" s="28">
        <v>45.457000000000001</v>
      </c>
      <c r="I65" s="28">
        <v>43.661000000000001</v>
      </c>
      <c r="J65" s="26">
        <v>37.4</v>
      </c>
      <c r="K65" s="29">
        <v>35.969000000000001</v>
      </c>
      <c r="L65" s="29">
        <v>35.095999999999997</v>
      </c>
      <c r="M65" s="29">
        <v>30.876000000000001</v>
      </c>
      <c r="N65" s="29">
        <v>23.864000000000001</v>
      </c>
    </row>
    <row r="66" spans="1:14" ht="12" customHeight="1" x14ac:dyDescent="0.2">
      <c r="A66" s="3" t="s">
        <v>56</v>
      </c>
      <c r="B66" s="26">
        <v>18.7</v>
      </c>
      <c r="C66" s="27">
        <v>25.4</v>
      </c>
      <c r="D66" s="26">
        <v>28.9</v>
      </c>
      <c r="E66" s="27">
        <v>30.837</v>
      </c>
      <c r="F66" s="26">
        <v>31.802</v>
      </c>
      <c r="G66" s="26">
        <v>32.756999999999998</v>
      </c>
      <c r="H66" s="28">
        <v>32.603000000000002</v>
      </c>
      <c r="I66" s="28">
        <v>30.960999999999999</v>
      </c>
      <c r="J66" s="26">
        <v>29</v>
      </c>
      <c r="K66" s="29">
        <v>25.396000000000001</v>
      </c>
      <c r="L66" s="29">
        <v>23.494</v>
      </c>
      <c r="M66" s="29">
        <v>12.446</v>
      </c>
      <c r="N66" s="29">
        <v>9.032</v>
      </c>
    </row>
    <row r="67" spans="1:14" ht="12" customHeight="1" x14ac:dyDescent="0.2">
      <c r="A67" s="3" t="s">
        <v>57</v>
      </c>
      <c r="B67" s="26">
        <v>65.900000000000006</v>
      </c>
      <c r="C67" s="27">
        <v>46</v>
      </c>
      <c r="D67" s="26">
        <v>45.7</v>
      </c>
      <c r="E67" s="27">
        <v>52.01</v>
      </c>
      <c r="F67" s="26">
        <v>52.598999999999997</v>
      </c>
      <c r="G67" s="26">
        <v>56.267000000000003</v>
      </c>
      <c r="H67" s="28">
        <v>57.503</v>
      </c>
      <c r="I67" s="28">
        <v>53.253999999999998</v>
      </c>
      <c r="J67" s="26">
        <v>60.6</v>
      </c>
      <c r="K67" s="29">
        <v>54.353999999999999</v>
      </c>
      <c r="L67" s="29">
        <v>53.417999999999999</v>
      </c>
      <c r="M67" s="29">
        <v>45.561999999999998</v>
      </c>
      <c r="N67" s="29">
        <v>53.158000000000001</v>
      </c>
    </row>
    <row r="68" spans="1:14" ht="11.45" customHeight="1" x14ac:dyDescent="0.2">
      <c r="A68" s="3" t="s">
        <v>58</v>
      </c>
      <c r="B68" s="26">
        <v>37.6</v>
      </c>
      <c r="C68" s="27">
        <v>31.4</v>
      </c>
      <c r="D68" s="26">
        <v>34.700000000000003</v>
      </c>
      <c r="E68" s="27">
        <v>33.094999999999999</v>
      </c>
      <c r="F68" s="26">
        <v>31.443999999999999</v>
      </c>
      <c r="G68" s="26">
        <v>35.097999999999999</v>
      </c>
      <c r="H68" s="28">
        <v>30.977</v>
      </c>
      <c r="I68" s="28">
        <v>33.085000000000001</v>
      </c>
      <c r="J68" s="26">
        <v>30.8</v>
      </c>
      <c r="K68" s="29">
        <v>28.161000000000001</v>
      </c>
      <c r="L68" s="29">
        <v>24.201000000000001</v>
      </c>
      <c r="M68" s="29">
        <v>22.966999999999999</v>
      </c>
      <c r="N68" s="29">
        <v>24.954000000000001</v>
      </c>
    </row>
    <row r="69" spans="1:14" ht="12" customHeight="1" x14ac:dyDescent="0.2">
      <c r="A69" s="3" t="s">
        <v>59</v>
      </c>
      <c r="B69" s="26">
        <v>14.8</v>
      </c>
      <c r="C69" s="27">
        <v>15.7</v>
      </c>
      <c r="D69" s="26">
        <v>15.5</v>
      </c>
      <c r="E69" s="27">
        <v>15.581</v>
      </c>
      <c r="F69" s="26">
        <v>15.477</v>
      </c>
      <c r="G69" s="26">
        <v>15.927</v>
      </c>
      <c r="H69" s="28">
        <v>15.321</v>
      </c>
      <c r="I69" s="28">
        <v>14.106999999999999</v>
      </c>
      <c r="J69" s="26">
        <v>14</v>
      </c>
      <c r="K69" s="29">
        <v>13.435</v>
      </c>
      <c r="L69" s="29">
        <v>13.034000000000001</v>
      </c>
      <c r="M69" s="29">
        <v>13.16</v>
      </c>
      <c r="N69" s="29">
        <v>11.849</v>
      </c>
    </row>
    <row r="70" spans="1:14" s="7" customFormat="1" ht="18.75" x14ac:dyDescent="0.2">
      <c r="A70" s="23" t="s">
        <v>100</v>
      </c>
      <c r="B70" s="18">
        <v>334.5</v>
      </c>
      <c r="C70" s="19">
        <v>321.2</v>
      </c>
      <c r="D70" s="18">
        <v>315.8</v>
      </c>
      <c r="E70" s="19">
        <v>321.98899999999998</v>
      </c>
      <c r="F70" s="18">
        <v>314.32499999999999</v>
      </c>
      <c r="G70" s="18">
        <v>301.89699999999999</v>
      </c>
      <c r="H70" s="24">
        <v>290.13099999999997</v>
      </c>
      <c r="I70" s="24">
        <v>276.44600000000003</v>
      </c>
      <c r="J70" s="18">
        <v>286.8</v>
      </c>
      <c r="K70" s="25">
        <v>271.85000000000002</v>
      </c>
      <c r="L70" s="25">
        <v>258.13600000000002</v>
      </c>
      <c r="M70" s="25">
        <v>251.42699999999999</v>
      </c>
      <c r="N70" s="25">
        <v>255.54599999999999</v>
      </c>
    </row>
    <row r="71" spans="1:14" ht="12" customHeight="1" x14ac:dyDescent="0.2">
      <c r="A71" s="3" t="s">
        <v>60</v>
      </c>
      <c r="B71" s="26">
        <v>8.6</v>
      </c>
      <c r="C71" s="27">
        <v>9.4</v>
      </c>
      <c r="D71" s="26">
        <v>10.4</v>
      </c>
      <c r="E71" s="27">
        <v>11.048</v>
      </c>
      <c r="F71" s="26">
        <v>9.7379999999999995</v>
      </c>
      <c r="G71" s="26">
        <v>9.577</v>
      </c>
      <c r="H71" s="28">
        <v>9.4540000000000006</v>
      </c>
      <c r="I71" s="28">
        <v>7.0650000000000004</v>
      </c>
      <c r="J71" s="26">
        <v>6.4</v>
      </c>
      <c r="K71" s="29">
        <v>5.7519999999999998</v>
      </c>
      <c r="L71" s="29">
        <v>6.2690000000000001</v>
      </c>
      <c r="M71" s="29">
        <v>5.4219999999999997</v>
      </c>
      <c r="N71" s="29">
        <v>4.4610000000000003</v>
      </c>
    </row>
    <row r="72" spans="1:14" ht="12" customHeight="1" x14ac:dyDescent="0.2">
      <c r="A72" s="3" t="s">
        <v>61</v>
      </c>
      <c r="B72" s="26">
        <v>94</v>
      </c>
      <c r="C72" s="27">
        <v>82.3</v>
      </c>
      <c r="D72" s="26">
        <v>76.3</v>
      </c>
      <c r="E72" s="27">
        <v>76.116</v>
      </c>
      <c r="F72" s="26">
        <v>71.563000000000002</v>
      </c>
      <c r="G72" s="26">
        <v>67.602999999999994</v>
      </c>
      <c r="H72" s="28">
        <v>62.956000000000003</v>
      </c>
      <c r="I72" s="28">
        <v>54.149000000000001</v>
      </c>
      <c r="J72" s="26">
        <v>73.7</v>
      </c>
      <c r="K72" s="29">
        <v>58.841999999999999</v>
      </c>
      <c r="L72" s="29">
        <v>55.42</v>
      </c>
      <c r="M72" s="29">
        <v>56.433</v>
      </c>
      <c r="N72" s="29">
        <v>54.796999999999997</v>
      </c>
    </row>
    <row r="73" spans="1:14" ht="13.9" customHeight="1" x14ac:dyDescent="0.2">
      <c r="A73" s="3" t="s">
        <v>62</v>
      </c>
      <c r="B73" s="26">
        <v>170.1</v>
      </c>
      <c r="C73" s="27">
        <v>179.8</v>
      </c>
      <c r="D73" s="26">
        <v>171.2</v>
      </c>
      <c r="E73" s="27">
        <v>179.79</v>
      </c>
      <c r="F73" s="26">
        <v>178.304</v>
      </c>
      <c r="G73" s="26">
        <v>172.58199999999999</v>
      </c>
      <c r="H73" s="28">
        <v>170.26599999999999</v>
      </c>
      <c r="I73" s="28">
        <v>173.34700000000001</v>
      </c>
      <c r="J73" s="26">
        <v>154.80000000000001</v>
      </c>
      <c r="K73" s="29">
        <v>162.56200000000001</v>
      </c>
      <c r="L73" s="29">
        <v>153.66300000000001</v>
      </c>
      <c r="M73" s="29">
        <v>149.291</v>
      </c>
      <c r="N73" s="29">
        <v>157.11000000000001</v>
      </c>
    </row>
    <row r="74" spans="1:14" ht="10.15" customHeight="1" x14ac:dyDescent="0.2">
      <c r="A74" s="30" t="s">
        <v>63</v>
      </c>
      <c r="B74" s="26"/>
      <c r="C74" s="27"/>
      <c r="D74" s="26"/>
      <c r="E74" s="27"/>
      <c r="F74" s="26"/>
      <c r="G74" s="26"/>
      <c r="H74" s="28"/>
      <c r="I74" s="26"/>
      <c r="J74" s="31"/>
      <c r="K74" s="29"/>
      <c r="L74" s="29"/>
      <c r="M74" s="29"/>
      <c r="N74" s="29"/>
    </row>
    <row r="75" spans="1:14" ht="18.95" customHeight="1" x14ac:dyDescent="0.2">
      <c r="A75" s="6" t="s">
        <v>64</v>
      </c>
      <c r="B75" s="26">
        <v>82.4</v>
      </c>
      <c r="C75" s="27">
        <v>92.2</v>
      </c>
      <c r="D75" s="26">
        <v>87</v>
      </c>
      <c r="E75" s="27">
        <v>86.402000000000001</v>
      </c>
      <c r="F75" s="26">
        <v>80.203000000000003</v>
      </c>
      <c r="G75" s="26">
        <v>76.465000000000003</v>
      </c>
      <c r="H75" s="28">
        <v>72.120999999999995</v>
      </c>
      <c r="I75" s="28">
        <v>67.995999999999995</v>
      </c>
      <c r="J75" s="26">
        <v>52.8</v>
      </c>
      <c r="K75" s="29">
        <v>64.628</v>
      </c>
      <c r="L75" s="29">
        <v>61.19</v>
      </c>
      <c r="M75" s="29">
        <v>58.893000000000001</v>
      </c>
      <c r="N75" s="29">
        <v>56.701999999999998</v>
      </c>
    </row>
    <row r="76" spans="1:14" ht="19.5" x14ac:dyDescent="0.2">
      <c r="A76" s="6" t="s">
        <v>65</v>
      </c>
      <c r="B76" s="26">
        <v>51.7</v>
      </c>
      <c r="C76" s="27">
        <v>47.7</v>
      </c>
      <c r="D76" s="26">
        <v>44.2</v>
      </c>
      <c r="E76" s="27">
        <v>51.393000000000001</v>
      </c>
      <c r="F76" s="26">
        <v>52.530999999999999</v>
      </c>
      <c r="G76" s="26">
        <v>51.948</v>
      </c>
      <c r="H76" s="28">
        <v>52.844000000000001</v>
      </c>
      <c r="I76" s="28">
        <v>55.595999999999997</v>
      </c>
      <c r="J76" s="26">
        <v>50</v>
      </c>
      <c r="K76" s="29">
        <v>45.427999999999997</v>
      </c>
      <c r="L76" s="29">
        <v>44.728999999999999</v>
      </c>
      <c r="M76" s="29">
        <v>51.104999999999997</v>
      </c>
      <c r="N76" s="29">
        <v>62.021000000000001</v>
      </c>
    </row>
    <row r="77" spans="1:14" ht="20.25" customHeight="1" x14ac:dyDescent="0.2">
      <c r="A77" s="6" t="s">
        <v>88</v>
      </c>
      <c r="B77" s="26">
        <v>36</v>
      </c>
      <c r="C77" s="27">
        <v>39.9</v>
      </c>
      <c r="D77" s="26">
        <v>40</v>
      </c>
      <c r="E77" s="27">
        <v>41.991</v>
      </c>
      <c r="F77" s="26">
        <v>45.566000000000003</v>
      </c>
      <c r="G77" s="26">
        <v>44.164000000000001</v>
      </c>
      <c r="H77" s="28">
        <v>45.301000000000002</v>
      </c>
      <c r="I77" s="28">
        <v>49.752000000000002</v>
      </c>
      <c r="J77" s="26">
        <v>52</v>
      </c>
      <c r="K77" s="29">
        <v>52.506</v>
      </c>
      <c r="L77" s="29">
        <v>47.744999999999997</v>
      </c>
      <c r="M77" s="29">
        <v>39.293999999999997</v>
      </c>
      <c r="N77" s="29">
        <v>38.387</v>
      </c>
    </row>
    <row r="78" spans="1:14" ht="12" customHeight="1" x14ac:dyDescent="0.2">
      <c r="A78" s="3" t="s">
        <v>66</v>
      </c>
      <c r="B78" s="26">
        <v>61.7</v>
      </c>
      <c r="C78" s="27">
        <v>49.7</v>
      </c>
      <c r="D78" s="26">
        <v>57.9</v>
      </c>
      <c r="E78" s="27">
        <v>55.034999999999997</v>
      </c>
      <c r="F78" s="26">
        <v>54.72</v>
      </c>
      <c r="G78" s="26">
        <v>52.134999999999998</v>
      </c>
      <c r="H78" s="28">
        <v>47.454999999999998</v>
      </c>
      <c r="I78" s="28">
        <v>41.884999999999998</v>
      </c>
      <c r="J78" s="26">
        <v>51.9</v>
      </c>
      <c r="K78" s="29">
        <v>44.694000000000003</v>
      </c>
      <c r="L78" s="29">
        <v>42.784999999999997</v>
      </c>
      <c r="M78" s="29">
        <v>40.280999999999999</v>
      </c>
      <c r="N78" s="29">
        <v>39.177999999999997</v>
      </c>
    </row>
    <row r="79" spans="1:14" s="7" customFormat="1" ht="20.25" customHeight="1" x14ac:dyDescent="0.2">
      <c r="A79" s="23" t="s">
        <v>145</v>
      </c>
      <c r="B79" s="18">
        <f>B80+B81+B82+B83+B84+B85+B86+B87+B88+B89</f>
        <v>264.60000000000002</v>
      </c>
      <c r="C79" s="18">
        <f t="shared" ref="C79:J79" si="0">C80+C81+C82+C83+C84+C85+C86+C87+C88+C89</f>
        <v>280.7</v>
      </c>
      <c r="D79" s="18">
        <f t="shared" si="0"/>
        <v>293.70000000000005</v>
      </c>
      <c r="E79" s="18">
        <f t="shared" si="0"/>
        <v>295.28599999999994</v>
      </c>
      <c r="F79" s="18">
        <f t="shared" si="0"/>
        <v>296.90899999999999</v>
      </c>
      <c r="G79" s="18">
        <f t="shared" si="0"/>
        <v>290.05</v>
      </c>
      <c r="H79" s="18">
        <f t="shared" si="0"/>
        <v>269.72300000000001</v>
      </c>
      <c r="I79" s="18">
        <f t="shared" si="0"/>
        <v>245.32600000000002</v>
      </c>
      <c r="J79" s="18">
        <f t="shared" si="0"/>
        <v>242.20000000000002</v>
      </c>
      <c r="K79" s="25">
        <v>231.88499999999999</v>
      </c>
      <c r="L79" s="25">
        <v>224.35400000000001</v>
      </c>
      <c r="M79" s="25">
        <v>210.286</v>
      </c>
      <c r="N79" s="25">
        <v>223.91300000000001</v>
      </c>
    </row>
    <row r="80" spans="1:14" ht="12" customHeight="1" x14ac:dyDescent="0.2">
      <c r="A80" s="3" t="s">
        <v>67</v>
      </c>
      <c r="B80" s="26">
        <v>2.2000000000000002</v>
      </c>
      <c r="C80" s="27">
        <v>2.2000000000000002</v>
      </c>
      <c r="D80" s="26">
        <v>2.2000000000000002</v>
      </c>
      <c r="E80" s="27">
        <v>1.9650000000000001</v>
      </c>
      <c r="F80" s="26">
        <v>1.853</v>
      </c>
      <c r="G80" s="26">
        <v>2.1520000000000001</v>
      </c>
      <c r="H80" s="28">
        <v>1.772</v>
      </c>
      <c r="I80" s="28">
        <v>1.0780000000000001</v>
      </c>
      <c r="J80" s="26">
        <v>1.3</v>
      </c>
      <c r="K80" s="29">
        <v>1.905</v>
      </c>
      <c r="L80" s="29">
        <v>2.1259999999999999</v>
      </c>
      <c r="M80" s="29">
        <v>1.81</v>
      </c>
      <c r="N80" s="29">
        <v>1.3620000000000001</v>
      </c>
    </row>
    <row r="81" spans="1:14" ht="12" customHeight="1" x14ac:dyDescent="0.2">
      <c r="A81" s="3" t="s">
        <v>69</v>
      </c>
      <c r="B81" s="26">
        <v>1.7</v>
      </c>
      <c r="C81" s="27">
        <v>1.6</v>
      </c>
      <c r="D81" s="26">
        <v>2.5</v>
      </c>
      <c r="E81" s="27">
        <v>2.621</v>
      </c>
      <c r="F81" s="26">
        <v>3.2109999999999999</v>
      </c>
      <c r="G81" s="26">
        <v>2.968</v>
      </c>
      <c r="H81" s="28">
        <v>2.8879999999999999</v>
      </c>
      <c r="I81" s="28">
        <v>2.41</v>
      </c>
      <c r="J81" s="26">
        <v>2.1</v>
      </c>
      <c r="K81" s="29">
        <v>1.887</v>
      </c>
      <c r="L81" s="29">
        <v>2.0960000000000001</v>
      </c>
      <c r="M81" s="29">
        <v>2.2069999999999999</v>
      </c>
      <c r="N81" s="29">
        <v>3.03</v>
      </c>
    </row>
    <row r="82" spans="1:14" ht="12" customHeight="1" x14ac:dyDescent="0.2">
      <c r="A82" s="3" t="s">
        <v>70</v>
      </c>
      <c r="B82" s="26">
        <v>11.9</v>
      </c>
      <c r="C82" s="27">
        <v>7.1</v>
      </c>
      <c r="D82" s="26">
        <v>7.1</v>
      </c>
      <c r="E82" s="27">
        <v>7.6470000000000002</v>
      </c>
      <c r="F82" s="26">
        <v>9.8130000000000006</v>
      </c>
      <c r="G82" s="26">
        <v>7.6269999999999998</v>
      </c>
      <c r="H82" s="28">
        <v>7.3540000000000001</v>
      </c>
      <c r="I82" s="28">
        <v>5.7069999999999999</v>
      </c>
      <c r="J82" s="26">
        <v>6.2</v>
      </c>
      <c r="K82" s="29">
        <v>4.8019999999999996</v>
      </c>
      <c r="L82" s="29">
        <v>4.74</v>
      </c>
      <c r="M82" s="29">
        <v>4.843</v>
      </c>
      <c r="N82" s="29">
        <v>4.3390000000000004</v>
      </c>
    </row>
    <row r="83" spans="1:14" ht="12" customHeight="1" x14ac:dyDescent="0.2">
      <c r="A83" s="3" t="s">
        <v>71</v>
      </c>
      <c r="B83" s="26">
        <v>23.6</v>
      </c>
      <c r="C83" s="27">
        <v>23.9</v>
      </c>
      <c r="D83" s="26">
        <v>20.3</v>
      </c>
      <c r="E83" s="27">
        <v>20.535</v>
      </c>
      <c r="F83" s="26">
        <v>20.651</v>
      </c>
      <c r="G83" s="26">
        <v>19.236000000000001</v>
      </c>
      <c r="H83" s="28">
        <v>19.800999999999998</v>
      </c>
      <c r="I83" s="28">
        <v>16.79</v>
      </c>
      <c r="J83" s="26">
        <v>17.100000000000001</v>
      </c>
      <c r="K83" s="29">
        <v>15.148999999999999</v>
      </c>
      <c r="L83" s="29">
        <v>14.673999999999999</v>
      </c>
      <c r="M83" s="29">
        <v>14.631</v>
      </c>
      <c r="N83" s="29">
        <v>14.798</v>
      </c>
    </row>
    <row r="84" spans="1:14" ht="12" customHeight="1" x14ac:dyDescent="0.2">
      <c r="A84" s="3" t="s">
        <v>73</v>
      </c>
      <c r="B84" s="26">
        <v>44.3</v>
      </c>
      <c r="C84" s="27">
        <v>60.5</v>
      </c>
      <c r="D84" s="26">
        <v>62.6</v>
      </c>
      <c r="E84" s="27">
        <v>66.793999999999997</v>
      </c>
      <c r="F84" s="26">
        <v>65.611999999999995</v>
      </c>
      <c r="G84" s="26">
        <v>69.057000000000002</v>
      </c>
      <c r="H84" s="28">
        <v>65.772999999999996</v>
      </c>
      <c r="I84" s="28">
        <v>60.715000000000003</v>
      </c>
      <c r="J84" s="26">
        <v>57</v>
      </c>
      <c r="K84" s="29">
        <v>53.982999999999997</v>
      </c>
      <c r="L84" s="29">
        <v>51.091000000000001</v>
      </c>
      <c r="M84" s="29">
        <v>46.965000000000003</v>
      </c>
      <c r="N84" s="29">
        <v>44.491999999999997</v>
      </c>
    </row>
    <row r="85" spans="1:14" ht="12" customHeight="1" x14ac:dyDescent="0.2">
      <c r="A85" s="3" t="s">
        <v>74</v>
      </c>
      <c r="B85" s="26">
        <v>37.700000000000003</v>
      </c>
      <c r="C85" s="27">
        <v>42.4</v>
      </c>
      <c r="D85" s="26">
        <v>45.7</v>
      </c>
      <c r="E85" s="27">
        <v>46.220999999999997</v>
      </c>
      <c r="F85" s="26">
        <v>46.42</v>
      </c>
      <c r="G85" s="26">
        <v>44.277000000000001</v>
      </c>
      <c r="H85" s="28">
        <v>37.628999999999998</v>
      </c>
      <c r="I85" s="28">
        <v>36.408999999999999</v>
      </c>
      <c r="J85" s="26">
        <v>37.1</v>
      </c>
      <c r="K85" s="29">
        <v>36.302999999999997</v>
      </c>
      <c r="L85" s="29">
        <v>35.100999999999999</v>
      </c>
      <c r="M85" s="29">
        <v>31.916</v>
      </c>
      <c r="N85" s="29">
        <v>44.432000000000002</v>
      </c>
    </row>
    <row r="86" spans="1:14" ht="12" customHeight="1" x14ac:dyDescent="0.2">
      <c r="A86" s="3" t="s">
        <v>184</v>
      </c>
      <c r="B86" s="26">
        <v>51.3</v>
      </c>
      <c r="C86" s="27">
        <v>47.9</v>
      </c>
      <c r="D86" s="26">
        <v>49</v>
      </c>
      <c r="E86" s="27">
        <v>49.033999999999999</v>
      </c>
      <c r="F86" s="26">
        <v>46.088999999999999</v>
      </c>
      <c r="G86" s="26">
        <v>42.706000000000003</v>
      </c>
      <c r="H86" s="28">
        <v>41.616</v>
      </c>
      <c r="I86" s="28">
        <v>38.534999999999997</v>
      </c>
      <c r="J86" s="26">
        <v>33.9</v>
      </c>
      <c r="K86" s="29">
        <v>35.002000000000002</v>
      </c>
      <c r="L86" s="29">
        <v>35.47</v>
      </c>
      <c r="M86" s="29">
        <v>33.219000000000001</v>
      </c>
      <c r="N86" s="29">
        <v>32.807000000000002</v>
      </c>
    </row>
    <row r="87" spans="1:14" ht="12" customHeight="1" x14ac:dyDescent="0.2">
      <c r="A87" s="3" t="s">
        <v>75</v>
      </c>
      <c r="B87" s="26">
        <v>32</v>
      </c>
      <c r="C87" s="27">
        <v>39.9</v>
      </c>
      <c r="D87" s="26">
        <v>46.7</v>
      </c>
      <c r="E87" s="27">
        <v>41.347999999999999</v>
      </c>
      <c r="F87" s="26">
        <v>43.273000000000003</v>
      </c>
      <c r="G87" s="26">
        <v>44.158999999999999</v>
      </c>
      <c r="H87" s="28">
        <v>42.453000000000003</v>
      </c>
      <c r="I87" s="28">
        <v>38.761000000000003</v>
      </c>
      <c r="J87" s="26">
        <v>42.2</v>
      </c>
      <c r="K87" s="29">
        <v>40.707000000000001</v>
      </c>
      <c r="L87" s="29">
        <v>39.216000000000001</v>
      </c>
      <c r="M87" s="29">
        <v>36.439</v>
      </c>
      <c r="N87" s="29">
        <v>36.531999999999996</v>
      </c>
    </row>
    <row r="88" spans="1:14" x14ac:dyDescent="0.2">
      <c r="A88" s="3" t="s">
        <v>76</v>
      </c>
      <c r="B88" s="26">
        <v>39.299999999999997</v>
      </c>
      <c r="C88" s="27">
        <v>35.9</v>
      </c>
      <c r="D88" s="26">
        <v>38.799999999999997</v>
      </c>
      <c r="E88" s="27">
        <v>40.762999999999998</v>
      </c>
      <c r="F88" s="26">
        <v>42.613999999999997</v>
      </c>
      <c r="G88" s="26">
        <v>40.185000000000002</v>
      </c>
      <c r="H88" s="28">
        <v>34.039000000000001</v>
      </c>
      <c r="I88" s="28">
        <v>30.33</v>
      </c>
      <c r="J88" s="26">
        <v>29.2</v>
      </c>
      <c r="K88" s="29">
        <v>27.484000000000002</v>
      </c>
      <c r="L88" s="29">
        <v>27.157</v>
      </c>
      <c r="M88" s="29">
        <v>26.439</v>
      </c>
      <c r="N88" s="29">
        <v>29.21</v>
      </c>
    </row>
    <row r="89" spans="1:14" ht="12" customHeight="1" x14ac:dyDescent="0.2">
      <c r="A89" s="3" t="s">
        <v>77</v>
      </c>
      <c r="B89" s="26">
        <v>20.6</v>
      </c>
      <c r="C89" s="27">
        <v>19.3</v>
      </c>
      <c r="D89" s="26">
        <v>18.8</v>
      </c>
      <c r="E89" s="27">
        <v>18.358000000000001</v>
      </c>
      <c r="F89" s="26">
        <v>17.373000000000001</v>
      </c>
      <c r="G89" s="26">
        <v>17.683</v>
      </c>
      <c r="H89" s="28">
        <v>16.398</v>
      </c>
      <c r="I89" s="28">
        <v>14.590999999999999</v>
      </c>
      <c r="J89" s="26">
        <v>16.100000000000001</v>
      </c>
      <c r="K89" s="29">
        <v>14.664</v>
      </c>
      <c r="L89" s="29">
        <v>12.683</v>
      </c>
      <c r="M89" s="29">
        <v>11.818</v>
      </c>
      <c r="N89" s="29">
        <v>12.91</v>
      </c>
    </row>
    <row r="90" spans="1:14" s="7" customFormat="1" ht="20.25" customHeight="1" x14ac:dyDescent="0.2">
      <c r="A90" s="23" t="s">
        <v>101</v>
      </c>
      <c r="B90" s="18">
        <f>B91+B92+B93+B94+B95+B96+B97+B98+B99+B100+B101</f>
        <v>156.9</v>
      </c>
      <c r="C90" s="18">
        <f t="shared" ref="C90:J90" si="1">C91+C92+C93+C94+C95+C96+C97+C98+C99+C100+C101</f>
        <v>184.49999999999997</v>
      </c>
      <c r="D90" s="18">
        <f t="shared" si="1"/>
        <v>195.5</v>
      </c>
      <c r="E90" s="18">
        <f t="shared" si="1"/>
        <v>192.08099999999999</v>
      </c>
      <c r="F90" s="18">
        <f t="shared" si="1"/>
        <v>185.58599999999998</v>
      </c>
      <c r="G90" s="18">
        <f t="shared" si="1"/>
        <v>179.74500000000003</v>
      </c>
      <c r="H90" s="18">
        <f t="shared" si="1"/>
        <v>174.29400000000001</v>
      </c>
      <c r="I90" s="18">
        <f t="shared" si="1"/>
        <v>168.05200000000002</v>
      </c>
      <c r="J90" s="18">
        <f t="shared" si="1"/>
        <v>179.80000000000004</v>
      </c>
      <c r="K90" s="25">
        <v>197.405</v>
      </c>
      <c r="L90" s="25">
        <v>208.56200000000001</v>
      </c>
      <c r="M90" s="25">
        <v>194.643</v>
      </c>
      <c r="N90" s="25">
        <v>198.17400000000001</v>
      </c>
    </row>
    <row r="91" spans="1:14" ht="12" customHeight="1" x14ac:dyDescent="0.2">
      <c r="A91" s="3" t="s">
        <v>68</v>
      </c>
      <c r="B91" s="26">
        <v>8.3000000000000007</v>
      </c>
      <c r="C91" s="27">
        <v>11.9</v>
      </c>
      <c r="D91" s="26">
        <v>11.2</v>
      </c>
      <c r="E91" s="27">
        <v>9.83</v>
      </c>
      <c r="F91" s="26">
        <v>9.5649999999999995</v>
      </c>
      <c r="G91" s="26">
        <v>8.7750000000000004</v>
      </c>
      <c r="H91" s="28">
        <v>9.2360000000000007</v>
      </c>
      <c r="I91" s="28">
        <v>7.6449999999999996</v>
      </c>
      <c r="J91" s="26">
        <v>9.3000000000000007</v>
      </c>
      <c r="K91" s="29">
        <v>9.2080000000000002</v>
      </c>
      <c r="L91" s="29">
        <v>8.3670000000000009</v>
      </c>
      <c r="M91" s="29">
        <v>7.1440000000000001</v>
      </c>
      <c r="N91" s="29">
        <v>5.9720000000000004</v>
      </c>
    </row>
    <row r="92" spans="1:14" ht="12" customHeight="1" x14ac:dyDescent="0.2">
      <c r="A92" s="3" t="s">
        <v>78</v>
      </c>
      <c r="B92" s="26">
        <v>17.2</v>
      </c>
      <c r="C92" s="27">
        <v>19.899999999999999</v>
      </c>
      <c r="D92" s="26">
        <v>21.8</v>
      </c>
      <c r="E92" s="27">
        <v>23.234999999999999</v>
      </c>
      <c r="F92" s="26">
        <v>22.262</v>
      </c>
      <c r="G92" s="26">
        <v>22.434000000000001</v>
      </c>
      <c r="H92" s="28">
        <v>21.728000000000002</v>
      </c>
      <c r="I92" s="28">
        <v>24.265999999999998</v>
      </c>
      <c r="J92" s="26">
        <v>29.5</v>
      </c>
      <c r="K92" s="29">
        <v>41.996000000000002</v>
      </c>
      <c r="L92" s="29">
        <v>48.454000000000001</v>
      </c>
      <c r="M92" s="29">
        <v>38.090000000000003</v>
      </c>
      <c r="N92" s="29">
        <v>36.779000000000003</v>
      </c>
    </row>
    <row r="93" spans="1:14" ht="12" customHeight="1" x14ac:dyDescent="0.2">
      <c r="A93" s="3" t="s">
        <v>72</v>
      </c>
      <c r="B93" s="26">
        <v>10.8</v>
      </c>
      <c r="C93" s="27">
        <v>11.1</v>
      </c>
      <c r="D93" s="26">
        <v>10.9</v>
      </c>
      <c r="E93" s="27">
        <v>11.641</v>
      </c>
      <c r="F93" s="26">
        <v>11.647</v>
      </c>
      <c r="G93" s="26">
        <v>10.382</v>
      </c>
      <c r="H93" s="28">
        <v>7.5339999999999998</v>
      </c>
      <c r="I93" s="28">
        <v>9.1880000000000006</v>
      </c>
      <c r="J93" s="26">
        <v>8</v>
      </c>
      <c r="K93" s="29">
        <v>8.8480000000000008</v>
      </c>
      <c r="L93" s="29">
        <v>8.8550000000000004</v>
      </c>
      <c r="M93" s="29">
        <v>9.202</v>
      </c>
      <c r="N93" s="29">
        <v>10.968999999999999</v>
      </c>
    </row>
    <row r="94" spans="1:14" ht="12" customHeight="1" x14ac:dyDescent="0.2">
      <c r="A94" s="3" t="s">
        <v>79</v>
      </c>
      <c r="B94" s="26">
        <v>3.6</v>
      </c>
      <c r="C94" s="27">
        <v>5.4</v>
      </c>
      <c r="D94" s="26">
        <v>6.4</v>
      </c>
      <c r="E94" s="27">
        <v>5.7910000000000004</v>
      </c>
      <c r="F94" s="26">
        <v>6.5359999999999996</v>
      </c>
      <c r="G94" s="26">
        <v>6.8570000000000002</v>
      </c>
      <c r="H94" s="28">
        <v>6.7450000000000001</v>
      </c>
      <c r="I94" s="28">
        <v>6.4829999999999997</v>
      </c>
      <c r="J94" s="26">
        <v>6</v>
      </c>
      <c r="K94" s="29">
        <v>6.2320000000000002</v>
      </c>
      <c r="L94" s="29">
        <v>5.73</v>
      </c>
      <c r="M94" s="29">
        <v>6.0640000000000001</v>
      </c>
      <c r="N94" s="29">
        <v>4.7270000000000003</v>
      </c>
    </row>
    <row r="95" spans="1:14" ht="12" customHeight="1" x14ac:dyDescent="0.2">
      <c r="A95" s="3" t="s">
        <v>80</v>
      </c>
      <c r="B95" s="26">
        <v>30.4</v>
      </c>
      <c r="C95" s="27">
        <v>38.299999999999997</v>
      </c>
      <c r="D95" s="26">
        <v>42.9</v>
      </c>
      <c r="E95" s="27">
        <v>40.116999999999997</v>
      </c>
      <c r="F95" s="26">
        <v>33.033999999999999</v>
      </c>
      <c r="G95" s="26">
        <v>30.213999999999999</v>
      </c>
      <c r="H95" s="28">
        <v>28.11</v>
      </c>
      <c r="I95" s="28">
        <v>23.265999999999998</v>
      </c>
      <c r="J95" s="26">
        <v>23.6</v>
      </c>
      <c r="K95" s="29">
        <v>23.513999999999999</v>
      </c>
      <c r="L95" s="29">
        <v>24.282</v>
      </c>
      <c r="M95" s="29">
        <v>26.143000000000001</v>
      </c>
      <c r="N95" s="29">
        <v>24.876999999999999</v>
      </c>
    </row>
    <row r="96" spans="1:14" ht="12" customHeight="1" x14ac:dyDescent="0.2">
      <c r="A96" s="3" t="s">
        <v>81</v>
      </c>
      <c r="B96" s="26">
        <v>44.5</v>
      </c>
      <c r="C96" s="27">
        <v>41</v>
      </c>
      <c r="D96" s="26">
        <v>42.9</v>
      </c>
      <c r="E96" s="27">
        <v>41.585999999999999</v>
      </c>
      <c r="F96" s="26">
        <v>40.932000000000002</v>
      </c>
      <c r="G96" s="26">
        <v>41.774999999999999</v>
      </c>
      <c r="H96" s="28">
        <v>44.136000000000003</v>
      </c>
      <c r="I96" s="28">
        <v>41.548000000000002</v>
      </c>
      <c r="J96" s="26">
        <v>47.3</v>
      </c>
      <c r="K96" s="29">
        <v>45.253999999999998</v>
      </c>
      <c r="L96" s="29">
        <v>48.393999999999998</v>
      </c>
      <c r="M96" s="29">
        <v>44.563000000000002</v>
      </c>
      <c r="N96" s="29">
        <v>39.933</v>
      </c>
    </row>
    <row r="97" spans="1:14" ht="12" customHeight="1" x14ac:dyDescent="0.2">
      <c r="A97" s="3" t="s">
        <v>82</v>
      </c>
      <c r="B97" s="26">
        <v>18.600000000000001</v>
      </c>
      <c r="C97" s="27">
        <v>28.6</v>
      </c>
      <c r="D97" s="26">
        <v>29.7</v>
      </c>
      <c r="E97" s="27">
        <v>28.013000000000002</v>
      </c>
      <c r="F97" s="26">
        <v>30.738</v>
      </c>
      <c r="G97" s="26">
        <v>30.372</v>
      </c>
      <c r="H97" s="28">
        <v>30.439</v>
      </c>
      <c r="I97" s="28">
        <v>32.039000000000001</v>
      </c>
      <c r="J97" s="26">
        <v>34.6</v>
      </c>
      <c r="K97" s="29">
        <v>42.421999999999997</v>
      </c>
      <c r="L97" s="29">
        <v>43.323999999999998</v>
      </c>
      <c r="M97" s="29">
        <v>40.679000000000002</v>
      </c>
      <c r="N97" s="29">
        <v>50.787999999999997</v>
      </c>
    </row>
    <row r="98" spans="1:14" ht="12" customHeight="1" x14ac:dyDescent="0.2">
      <c r="A98" s="3" t="s">
        <v>83</v>
      </c>
      <c r="B98" s="26">
        <v>3</v>
      </c>
      <c r="C98" s="27">
        <v>3.5</v>
      </c>
      <c r="D98" s="26">
        <v>2.9</v>
      </c>
      <c r="E98" s="27">
        <v>4.2119999999999997</v>
      </c>
      <c r="F98" s="26">
        <v>5.0289999999999999</v>
      </c>
      <c r="G98" s="26">
        <v>4.08</v>
      </c>
      <c r="H98" s="28">
        <v>4.1449999999999996</v>
      </c>
      <c r="I98" s="28">
        <v>3.5920000000000001</v>
      </c>
      <c r="J98" s="26">
        <v>2.9</v>
      </c>
      <c r="K98" s="29">
        <v>2.923</v>
      </c>
      <c r="L98" s="29">
        <v>3.246</v>
      </c>
      <c r="M98" s="29">
        <v>3.234</v>
      </c>
      <c r="N98" s="29">
        <v>3.423</v>
      </c>
    </row>
    <row r="99" spans="1:14" ht="12" customHeight="1" x14ac:dyDescent="0.2">
      <c r="A99" s="3" t="s">
        <v>84</v>
      </c>
      <c r="B99" s="26">
        <v>15.7</v>
      </c>
      <c r="C99" s="27">
        <v>19.2</v>
      </c>
      <c r="D99" s="26">
        <v>21</v>
      </c>
      <c r="E99" s="27">
        <v>21.625</v>
      </c>
      <c r="F99" s="26">
        <v>20.440999999999999</v>
      </c>
      <c r="G99" s="26">
        <v>19.099</v>
      </c>
      <c r="H99" s="28">
        <v>18.274999999999999</v>
      </c>
      <c r="I99" s="28">
        <v>16.760999999999999</v>
      </c>
      <c r="J99" s="26">
        <v>15.8</v>
      </c>
      <c r="K99" s="29">
        <v>13.77</v>
      </c>
      <c r="L99" s="29">
        <v>15.083</v>
      </c>
      <c r="M99" s="29">
        <v>16.800999999999998</v>
      </c>
      <c r="N99" s="29">
        <v>17.7</v>
      </c>
    </row>
    <row r="100" spans="1:14" ht="10.15" customHeight="1" x14ac:dyDescent="0.2">
      <c r="A100" s="3" t="s">
        <v>85</v>
      </c>
      <c r="B100" s="26">
        <v>2.8</v>
      </c>
      <c r="C100" s="27">
        <v>4.4000000000000004</v>
      </c>
      <c r="D100" s="26">
        <v>4.5</v>
      </c>
      <c r="E100" s="27">
        <v>4.6559999999999997</v>
      </c>
      <c r="F100" s="26">
        <v>3.8849999999999998</v>
      </c>
      <c r="G100" s="26">
        <v>4.2990000000000004</v>
      </c>
      <c r="H100" s="28">
        <v>3.2839999999999998</v>
      </c>
      <c r="I100" s="28">
        <v>2.7629999999999999</v>
      </c>
      <c r="J100" s="26">
        <v>2.4</v>
      </c>
      <c r="K100" s="29">
        <v>2.2029999999999998</v>
      </c>
      <c r="L100" s="29">
        <v>1.7929999999999999</v>
      </c>
      <c r="M100" s="29">
        <v>1.843</v>
      </c>
      <c r="N100" s="29">
        <v>1.9630000000000001</v>
      </c>
    </row>
    <row r="101" spans="1:14" ht="12" customHeight="1" x14ac:dyDescent="0.2">
      <c r="A101" s="32" t="s">
        <v>86</v>
      </c>
      <c r="B101" s="33">
        <v>2</v>
      </c>
      <c r="C101" s="34">
        <v>1.2</v>
      </c>
      <c r="D101" s="33">
        <v>1.3</v>
      </c>
      <c r="E101" s="34">
        <v>1.375</v>
      </c>
      <c r="F101" s="33">
        <v>1.5169999999999999</v>
      </c>
      <c r="G101" s="33">
        <v>1.458</v>
      </c>
      <c r="H101" s="35">
        <v>0.66200000000000003</v>
      </c>
      <c r="I101" s="35">
        <v>0.501</v>
      </c>
      <c r="J101" s="33">
        <v>0.4</v>
      </c>
      <c r="K101" s="36">
        <v>1.0349999999999999</v>
      </c>
      <c r="L101" s="36">
        <v>1.034</v>
      </c>
      <c r="M101" s="36">
        <v>0.88100000000000001</v>
      </c>
      <c r="N101" s="36">
        <v>1.0449999999999999</v>
      </c>
    </row>
  </sheetData>
  <mergeCells count="2">
    <mergeCell ref="A1:N1"/>
    <mergeCell ref="A2:N2"/>
  </mergeCells>
  <pageMargins left="0.74803149606299213" right="0.23622047244094491" top="0.74803149606299213" bottom="0.74803149606299213" header="0.19685039370078741" footer="0.19685039370078741"/>
  <pageSetup paperSize="9" scale="85" fitToHeight="0" orientation="landscape" r:id="rId1"/>
  <headerFooter differentOddEven="1" differentFirst="1" alignWithMargins="0">
    <oddHeader>&amp;C&amp;7СТРОИТЕЛЬНЫЕ ОРГАНИЗАЦИИ&amp;R&amp;6&amp;UПродолжение таблицы 2.6.</oddHeader>
    <oddFooter>&amp;L&amp;P&amp;C&amp;8СТРОИТЕЛЬСТВО В РОССИИ. 2022&amp;R&amp;G</oddFooter>
    <evenHeader>&amp;C&amp;7СТРОИТЕЛЬНЫЕ ОРГАНИЗАЦИИ&amp;R&amp;6&amp;UПродолжение таблицы 2.6.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zoomScale="130" zoomScaleNormal="130" workbookViewId="0">
      <selection activeCell="K8" sqref="K8"/>
    </sheetView>
  </sheetViews>
  <sheetFormatPr defaultColWidth="9.140625" defaultRowHeight="11.25" x14ac:dyDescent="0.2"/>
  <cols>
    <col min="1" max="1" width="23.7109375" style="1" customWidth="1"/>
    <col min="2" max="4" width="10.7109375" style="8" customWidth="1"/>
    <col min="5" max="5" width="13" style="8" customWidth="1"/>
    <col min="6" max="13" width="10.7109375" style="8" customWidth="1"/>
    <col min="14" max="16384" width="9.140625" style="1"/>
  </cols>
  <sheetData>
    <row r="1" spans="1:13" ht="48.75" customHeight="1" x14ac:dyDescent="0.2">
      <c r="A1" s="82" t="s">
        <v>188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13" ht="15" customHeight="1" x14ac:dyDescent="0.2">
      <c r="A2" s="83" t="s">
        <v>152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1:13" s="7" customFormat="1" ht="15" customHeight="1" x14ac:dyDescent="0.2">
      <c r="A3" s="84"/>
      <c r="B3" s="87" t="s">
        <v>127</v>
      </c>
      <c r="C3" s="90" t="s">
        <v>131</v>
      </c>
      <c r="D3" s="91"/>
      <c r="E3" s="91"/>
      <c r="F3" s="91"/>
      <c r="G3" s="91"/>
      <c r="H3" s="91"/>
      <c r="I3" s="91"/>
      <c r="J3" s="91"/>
      <c r="K3" s="91"/>
      <c r="L3" s="91"/>
      <c r="M3" s="92"/>
    </row>
    <row r="4" spans="1:13" s="7" customFormat="1" ht="15" customHeight="1" x14ac:dyDescent="0.2">
      <c r="A4" s="85"/>
      <c r="B4" s="88"/>
      <c r="C4" s="93" t="s">
        <v>121</v>
      </c>
      <c r="D4" s="94"/>
      <c r="E4" s="94"/>
      <c r="F4" s="94"/>
      <c r="G4" s="94"/>
      <c r="H4" s="94"/>
      <c r="I4" s="94"/>
      <c r="J4" s="94"/>
      <c r="K4" s="95"/>
      <c r="L4" s="93" t="s">
        <v>122</v>
      </c>
      <c r="M4" s="95"/>
    </row>
    <row r="5" spans="1:13" s="7" customFormat="1" ht="45" x14ac:dyDescent="0.2">
      <c r="A5" s="86"/>
      <c r="B5" s="89"/>
      <c r="C5" s="42" t="s">
        <v>153</v>
      </c>
      <c r="D5" s="42" t="s">
        <v>129</v>
      </c>
      <c r="E5" s="42" t="s">
        <v>130</v>
      </c>
      <c r="F5" s="42" t="s">
        <v>123</v>
      </c>
      <c r="G5" s="42" t="s">
        <v>148</v>
      </c>
      <c r="H5" s="9" t="s">
        <v>124</v>
      </c>
      <c r="I5" s="9" t="s">
        <v>125</v>
      </c>
      <c r="J5" s="9" t="s">
        <v>126</v>
      </c>
      <c r="K5" s="9" t="s">
        <v>147</v>
      </c>
      <c r="L5" s="9" t="s">
        <v>128</v>
      </c>
      <c r="M5" s="9" t="s">
        <v>146</v>
      </c>
    </row>
    <row r="6" spans="1:13" s="7" customFormat="1" x14ac:dyDescent="0.2">
      <c r="A6" s="17" t="s">
        <v>1</v>
      </c>
      <c r="B6" s="18">
        <v>35.844899563754353</v>
      </c>
      <c r="C6" s="18">
        <v>15.236522200023666</v>
      </c>
      <c r="D6" s="18">
        <v>7.2809310485444296</v>
      </c>
      <c r="E6" s="18">
        <v>3.736105121412415</v>
      </c>
      <c r="F6" s="18">
        <v>6.0219697258624922</v>
      </c>
      <c r="G6" s="18">
        <v>1.9150411357837802</v>
      </c>
      <c r="H6" s="18">
        <v>0.33923697595025959</v>
      </c>
      <c r="I6" s="18">
        <v>1.2669801846098481</v>
      </c>
      <c r="J6" s="18">
        <v>0.96666402630969039</v>
      </c>
      <c r="K6" s="18">
        <v>9.7106462127012905E-2</v>
      </c>
      <c r="L6" s="18">
        <v>23.732799785642129</v>
      </c>
      <c r="M6" s="18">
        <v>3.2863643164555847</v>
      </c>
    </row>
    <row r="7" spans="1:13" s="7" customFormat="1" ht="18.75" x14ac:dyDescent="0.2">
      <c r="A7" s="23" t="s">
        <v>102</v>
      </c>
      <c r="B7" s="18">
        <v>27.459475459906017</v>
      </c>
      <c r="C7" s="18">
        <v>11.655661662557309</v>
      </c>
      <c r="D7" s="18">
        <v>4.1024054034962614</v>
      </c>
      <c r="E7" s="18">
        <v>2.534907110589359</v>
      </c>
      <c r="F7" s="18">
        <v>4.5262354140247369</v>
      </c>
      <c r="G7" s="18">
        <v>1.2089246490788426</v>
      </c>
      <c r="H7" s="18">
        <v>0.22806091042722737</v>
      </c>
      <c r="I7" s="18">
        <v>1.501569180158028</v>
      </c>
      <c r="J7" s="18">
        <v>1.2765356269488612</v>
      </c>
      <c r="K7" s="18">
        <v>7.1311081136537169E-2</v>
      </c>
      <c r="L7" s="18">
        <v>17.520661713013265</v>
      </c>
      <c r="M7" s="18">
        <v>3.141051300249925</v>
      </c>
    </row>
    <row r="8" spans="1:13" x14ac:dyDescent="0.2">
      <c r="A8" s="3" t="s">
        <v>2</v>
      </c>
      <c r="B8" s="26">
        <v>48.161960575386253</v>
      </c>
      <c r="C8" s="26">
        <v>13.958444326052211</v>
      </c>
      <c r="D8" s="26">
        <v>7.3628129994672351</v>
      </c>
      <c r="E8" s="26">
        <v>10.154501864677677</v>
      </c>
      <c r="F8" s="26">
        <v>7.0644645711241338</v>
      </c>
      <c r="G8" s="26">
        <v>1.321257325519446</v>
      </c>
      <c r="H8" s="26">
        <v>2.1310602024507193E-2</v>
      </c>
      <c r="I8" s="26">
        <v>0.18114011720831114</v>
      </c>
      <c r="J8" s="26">
        <v>0.23441662226957913</v>
      </c>
      <c r="K8" s="26" t="s">
        <v>189</v>
      </c>
      <c r="L8" s="26">
        <v>29.728289824187534</v>
      </c>
      <c r="M8" s="26">
        <v>1.7261587639850826</v>
      </c>
    </row>
    <row r="9" spans="1:13" x14ac:dyDescent="0.2">
      <c r="A9" s="3" t="s">
        <v>3</v>
      </c>
      <c r="B9" s="26">
        <v>36.236274138583873</v>
      </c>
      <c r="C9" s="26">
        <v>13.138962514199166</v>
      </c>
      <c r="D9" s="26">
        <v>10.90496024233245</v>
      </c>
      <c r="E9" s="26">
        <v>1.5524422567209391</v>
      </c>
      <c r="F9" s="26">
        <v>12.570995834911018</v>
      </c>
      <c r="G9" s="26">
        <v>0.60583112457402499</v>
      </c>
      <c r="H9" s="26">
        <v>0.64369556985990151</v>
      </c>
      <c r="I9" s="26" t="s">
        <v>189</v>
      </c>
      <c r="J9" s="26">
        <v>1.7417644831503218</v>
      </c>
      <c r="K9" s="26" t="s">
        <v>189</v>
      </c>
      <c r="L9" s="26">
        <v>24.34683831881863</v>
      </c>
      <c r="M9" s="26">
        <v>4.5815978795910643</v>
      </c>
    </row>
    <row r="10" spans="1:13" x14ac:dyDescent="0.2">
      <c r="A10" s="3" t="s">
        <v>4</v>
      </c>
      <c r="B10" s="26">
        <v>43.777239709443101</v>
      </c>
      <c r="C10" s="26">
        <v>17.094430992736079</v>
      </c>
      <c r="D10" s="26">
        <v>6.0048426150121061</v>
      </c>
      <c r="E10" s="26">
        <v>0.92009685230024219</v>
      </c>
      <c r="F10" s="26">
        <v>5.4237288135593218</v>
      </c>
      <c r="G10" s="26">
        <v>0.53268765133171914</v>
      </c>
      <c r="H10" s="26" t="s">
        <v>189</v>
      </c>
      <c r="I10" s="26">
        <v>2.1307506053268765</v>
      </c>
      <c r="J10" s="26">
        <v>9.6852300242130748E-2</v>
      </c>
      <c r="K10" s="26" t="s">
        <v>189</v>
      </c>
      <c r="L10" s="26">
        <v>20.09685230024213</v>
      </c>
      <c r="M10" s="26">
        <v>12.736077481840194</v>
      </c>
    </row>
    <row r="11" spans="1:13" x14ac:dyDescent="0.2">
      <c r="A11" s="3" t="s">
        <v>5</v>
      </c>
      <c r="B11" s="26">
        <v>24.864468864468865</v>
      </c>
      <c r="C11" s="26">
        <v>5.7582417582417582</v>
      </c>
      <c r="D11" s="26">
        <v>1.9926739926739927</v>
      </c>
      <c r="E11" s="26">
        <v>1.4798534798534799</v>
      </c>
      <c r="F11" s="26">
        <v>2.8864468864468864</v>
      </c>
      <c r="G11" s="26">
        <v>1.5677655677655677</v>
      </c>
      <c r="H11" s="26">
        <v>7.3260073260073263E-2</v>
      </c>
      <c r="I11" s="26">
        <v>0.19047619047619047</v>
      </c>
      <c r="J11" s="26">
        <v>0.26373626373626374</v>
      </c>
      <c r="K11" s="26" t="s">
        <v>189</v>
      </c>
      <c r="L11" s="26">
        <v>18.622710622710624</v>
      </c>
      <c r="M11" s="26">
        <v>0.8351648351648352</v>
      </c>
    </row>
    <row r="12" spans="1:13" x14ac:dyDescent="0.2">
      <c r="A12" s="3" t="s">
        <v>6</v>
      </c>
      <c r="B12" s="26">
        <v>12.571103526734927</v>
      </c>
      <c r="C12" s="26">
        <v>5.7451649601820254</v>
      </c>
      <c r="D12" s="26" t="s">
        <v>189</v>
      </c>
      <c r="E12" s="26">
        <v>2.8441410693970419</v>
      </c>
      <c r="F12" s="26">
        <v>2.6734926052332195</v>
      </c>
      <c r="G12" s="26">
        <v>2.7303754266211606</v>
      </c>
      <c r="H12" s="26" t="s">
        <v>189</v>
      </c>
      <c r="I12" s="26" t="s">
        <v>189</v>
      </c>
      <c r="J12" s="26" t="s">
        <v>189</v>
      </c>
      <c r="K12" s="26" t="s">
        <v>189</v>
      </c>
      <c r="L12" s="26">
        <v>11.604095563139932</v>
      </c>
      <c r="M12" s="26">
        <v>2.6734926052332195</v>
      </c>
    </row>
    <row r="13" spans="1:13" x14ac:dyDescent="0.2">
      <c r="A13" s="3" t="s">
        <v>7</v>
      </c>
      <c r="B13" s="26">
        <v>45.165777880825409</v>
      </c>
      <c r="C13" s="26">
        <v>13.679573382796198</v>
      </c>
      <c r="D13" s="26">
        <v>4.4052863436123344</v>
      </c>
      <c r="E13" s="26">
        <v>4.5907720843960123</v>
      </c>
      <c r="F13" s="26">
        <v>1.1824715974959426</v>
      </c>
      <c r="G13" s="26">
        <v>0.34778576396939487</v>
      </c>
      <c r="H13" s="26" t="s">
        <v>189</v>
      </c>
      <c r="I13" s="26" t="s">
        <v>189</v>
      </c>
      <c r="J13" s="26">
        <v>2.1562717366102482</v>
      </c>
      <c r="K13" s="26" t="s">
        <v>189</v>
      </c>
      <c r="L13" s="26">
        <v>29.190818455831209</v>
      </c>
      <c r="M13" s="26">
        <v>3.5706005100857872</v>
      </c>
    </row>
    <row r="14" spans="1:13" x14ac:dyDescent="0.2">
      <c r="A14" s="3" t="s">
        <v>8</v>
      </c>
      <c r="B14" s="26">
        <v>11.154489682097044</v>
      </c>
      <c r="C14" s="26">
        <v>2.3982152816508644</v>
      </c>
      <c r="D14" s="26">
        <v>2.5097601784718351</v>
      </c>
      <c r="E14" s="26">
        <v>0.39040713887339656</v>
      </c>
      <c r="F14" s="26">
        <v>0.78081427774679313</v>
      </c>
      <c r="G14" s="26">
        <v>1.2269938650306749</v>
      </c>
      <c r="H14" s="26">
        <v>0.11154489682097044</v>
      </c>
      <c r="I14" s="26">
        <v>0.22308979364194087</v>
      </c>
      <c r="J14" s="26">
        <v>0.33463469046291133</v>
      </c>
      <c r="K14" s="26">
        <v>0.22308979364194087</v>
      </c>
      <c r="L14" s="26">
        <v>7.5850529838259897</v>
      </c>
      <c r="M14" s="26">
        <v>1.0596765197992193</v>
      </c>
    </row>
    <row r="15" spans="1:13" x14ac:dyDescent="0.2">
      <c r="A15" s="3" t="s">
        <v>9</v>
      </c>
      <c r="B15" s="26">
        <v>57.024872755209834</v>
      </c>
      <c r="C15" s="26">
        <v>29.703255545952175</v>
      </c>
      <c r="D15" s="26">
        <v>21.050609814654759</v>
      </c>
      <c r="E15" s="26">
        <v>3.4284067991933163</v>
      </c>
      <c r="F15" s="26">
        <v>9.9587054643234421</v>
      </c>
      <c r="G15" s="26">
        <v>0.28810141169691733</v>
      </c>
      <c r="H15" s="26">
        <v>0.30730817247671183</v>
      </c>
      <c r="I15" s="26">
        <v>1.2772495918563334</v>
      </c>
      <c r="J15" s="26">
        <v>0.29770479208681455</v>
      </c>
      <c r="K15" s="26" t="s">
        <v>189</v>
      </c>
      <c r="L15" s="26">
        <v>47.555939690771154</v>
      </c>
      <c r="M15" s="26">
        <v>4.6096225871506773</v>
      </c>
    </row>
    <row r="16" spans="1:13" x14ac:dyDescent="0.2">
      <c r="A16" s="3" t="s">
        <v>10</v>
      </c>
      <c r="B16" s="26">
        <v>39.846818538884527</v>
      </c>
      <c r="C16" s="26">
        <v>17.989002356637862</v>
      </c>
      <c r="D16" s="26">
        <v>5.8915946582875094</v>
      </c>
      <c r="E16" s="26">
        <v>9.4265514532600161</v>
      </c>
      <c r="F16" s="26">
        <v>12.588373919874313</v>
      </c>
      <c r="G16" s="26">
        <v>3.8688138256087981</v>
      </c>
      <c r="H16" s="26">
        <v>0.49096622152395913</v>
      </c>
      <c r="I16" s="26">
        <v>1.9638648860958365</v>
      </c>
      <c r="J16" s="26">
        <v>5.1453260015710915</v>
      </c>
      <c r="K16" s="26">
        <v>0.35349567949725058</v>
      </c>
      <c r="L16" s="26">
        <v>30.597014925373134</v>
      </c>
      <c r="M16" s="26">
        <v>9.996072270227808</v>
      </c>
    </row>
    <row r="17" spans="1:13" x14ac:dyDescent="0.2">
      <c r="A17" s="3" t="s">
        <v>11</v>
      </c>
      <c r="B17" s="26">
        <v>24.995669120831529</v>
      </c>
      <c r="C17" s="26">
        <v>11.331745344304894</v>
      </c>
      <c r="D17" s="26">
        <v>1.8904287570376785</v>
      </c>
      <c r="E17" s="26">
        <v>1.7648332611520139</v>
      </c>
      <c r="F17" s="26">
        <v>3.8198354265915979</v>
      </c>
      <c r="G17" s="26">
        <v>1.2407968817669988</v>
      </c>
      <c r="H17" s="26">
        <v>0.18622780424426158</v>
      </c>
      <c r="I17" s="26">
        <v>0.68427890861844953</v>
      </c>
      <c r="J17" s="26">
        <v>0.46990038977912518</v>
      </c>
      <c r="K17" s="26">
        <v>0.34647033347769596</v>
      </c>
      <c r="L17" s="26">
        <v>15.781723689909052</v>
      </c>
      <c r="M17" s="26">
        <v>3.1961888263317455</v>
      </c>
    </row>
    <row r="18" spans="1:13" x14ac:dyDescent="0.2">
      <c r="A18" s="3" t="s">
        <v>12</v>
      </c>
      <c r="B18" s="26">
        <v>33.321428571428569</v>
      </c>
      <c r="C18" s="26">
        <v>2.8214285714285716</v>
      </c>
      <c r="D18" s="26">
        <v>1.75</v>
      </c>
      <c r="E18" s="26">
        <v>0.2857142857142857</v>
      </c>
      <c r="F18" s="26">
        <v>6.9285714285714288</v>
      </c>
      <c r="G18" s="26">
        <v>0.8928571428571429</v>
      </c>
      <c r="H18" s="26">
        <v>2.0357142857142856</v>
      </c>
      <c r="I18" s="26" t="s">
        <v>189</v>
      </c>
      <c r="J18" s="26">
        <v>0.2857142857142857</v>
      </c>
      <c r="K18" s="26" t="s">
        <v>189</v>
      </c>
      <c r="L18" s="26">
        <v>26.714285714285715</v>
      </c>
      <c r="M18" s="26">
        <v>0.17857142857142858</v>
      </c>
    </row>
    <row r="19" spans="1:13" x14ac:dyDescent="0.2">
      <c r="A19" s="3" t="s">
        <v>13</v>
      </c>
      <c r="B19" s="26">
        <v>19.926969222743871</v>
      </c>
      <c r="C19" s="26">
        <v>5.5816379760041732</v>
      </c>
      <c r="D19" s="26">
        <v>2.0344287949921753</v>
      </c>
      <c r="E19" s="26">
        <v>1.1737089201877935</v>
      </c>
      <c r="F19" s="26">
        <v>5.868544600938967</v>
      </c>
      <c r="G19" s="26">
        <v>2.6082420448617631E-2</v>
      </c>
      <c r="H19" s="26">
        <v>0.10432968179447052</v>
      </c>
      <c r="I19" s="26">
        <v>2.6082420448617631E-2</v>
      </c>
      <c r="J19" s="26" t="s">
        <v>189</v>
      </c>
      <c r="K19" s="26" t="s">
        <v>189</v>
      </c>
      <c r="L19" s="26">
        <v>17.318727177882106</v>
      </c>
      <c r="M19" s="26">
        <v>1.6431924882629108</v>
      </c>
    </row>
    <row r="20" spans="1:13" x14ac:dyDescent="0.2">
      <c r="A20" s="3" t="s">
        <v>14</v>
      </c>
      <c r="B20" s="26">
        <v>28.024502297090351</v>
      </c>
      <c r="C20" s="26">
        <v>12.736089841755998</v>
      </c>
      <c r="D20" s="26">
        <v>7.4272588055130164</v>
      </c>
      <c r="E20" s="26">
        <v>1.0719754977029097</v>
      </c>
      <c r="F20" s="26">
        <v>3.4711587544665647</v>
      </c>
      <c r="G20" s="26">
        <v>1.8631955079122</v>
      </c>
      <c r="H20" s="26">
        <v>0.76569678407350694</v>
      </c>
      <c r="I20" s="26">
        <v>1.1485451761102603</v>
      </c>
      <c r="J20" s="26">
        <v>0.48494129657988772</v>
      </c>
      <c r="K20" s="26" t="s">
        <v>189</v>
      </c>
      <c r="L20" s="26">
        <v>15.135273098519653</v>
      </c>
      <c r="M20" s="26">
        <v>3.2669729453802963</v>
      </c>
    </row>
    <row r="21" spans="1:13" x14ac:dyDescent="0.2">
      <c r="A21" s="3" t="s">
        <v>15</v>
      </c>
      <c r="B21" s="26">
        <v>41.767955801104975</v>
      </c>
      <c r="C21" s="26">
        <v>15.80110497237569</v>
      </c>
      <c r="D21" s="26">
        <v>10.441988950276244</v>
      </c>
      <c r="E21" s="26">
        <v>6.5193370165745854</v>
      </c>
      <c r="F21" s="26">
        <v>14.088397790055248</v>
      </c>
      <c r="G21" s="26">
        <v>0.66298342541436461</v>
      </c>
      <c r="H21" s="26" t="s">
        <v>189</v>
      </c>
      <c r="I21" s="26">
        <v>0.27624309392265195</v>
      </c>
      <c r="J21" s="26">
        <v>0.16574585635359115</v>
      </c>
      <c r="K21" s="26">
        <v>5.5248618784530384E-2</v>
      </c>
      <c r="L21" s="26">
        <v>20</v>
      </c>
      <c r="M21" s="26">
        <v>16.408839779005525</v>
      </c>
    </row>
    <row r="22" spans="1:13" x14ac:dyDescent="0.2">
      <c r="A22" s="3" t="s">
        <v>16</v>
      </c>
      <c r="B22" s="26">
        <v>9.6299598751671862</v>
      </c>
      <c r="C22" s="26">
        <v>4.2205379699806809</v>
      </c>
      <c r="D22" s="26" t="s">
        <v>189</v>
      </c>
      <c r="E22" s="26">
        <v>1.486104919007282E-2</v>
      </c>
      <c r="F22" s="26">
        <v>0.23777678704116512</v>
      </c>
      <c r="G22" s="26">
        <v>0.1486104919007282</v>
      </c>
      <c r="H22" s="26">
        <v>2.972209838014564E-2</v>
      </c>
      <c r="I22" s="26">
        <v>5.9444196760291279E-2</v>
      </c>
      <c r="J22" s="26" t="s">
        <v>189</v>
      </c>
      <c r="K22" s="26">
        <v>0.19319363947094664</v>
      </c>
      <c r="L22" s="26">
        <v>5.9890028235993462</v>
      </c>
      <c r="M22" s="26">
        <v>1.486104919007282E-2</v>
      </c>
    </row>
    <row r="23" spans="1:13" x14ac:dyDescent="0.2">
      <c r="A23" s="3" t="s">
        <v>17</v>
      </c>
      <c r="B23" s="26">
        <v>37.082574377656343</v>
      </c>
      <c r="C23" s="26">
        <v>13.66120218579235</v>
      </c>
      <c r="D23" s="26">
        <v>4.0224650880388584</v>
      </c>
      <c r="E23" s="26">
        <v>2.6259866423800848</v>
      </c>
      <c r="F23" s="26">
        <v>6.4966605950212504</v>
      </c>
      <c r="G23" s="26">
        <v>1.5027322404371584</v>
      </c>
      <c r="H23" s="26">
        <v>0.36429872495446264</v>
      </c>
      <c r="I23" s="26">
        <v>0.13661202185792351</v>
      </c>
      <c r="J23" s="26">
        <v>6.0716454159077109E-2</v>
      </c>
      <c r="K23" s="26" t="s">
        <v>189</v>
      </c>
      <c r="L23" s="26">
        <v>28.627808136004859</v>
      </c>
      <c r="M23" s="26">
        <v>2.2920461445051608</v>
      </c>
    </row>
    <row r="24" spans="1:13" x14ac:dyDescent="0.2">
      <c r="A24" s="3" t="s">
        <v>18</v>
      </c>
      <c r="B24" s="26">
        <v>47.102843703228565</v>
      </c>
      <c r="C24" s="26">
        <v>29.057087876844133</v>
      </c>
      <c r="D24" s="26">
        <v>5.8156938208253157</v>
      </c>
      <c r="E24" s="26">
        <v>4.6824887748556767</v>
      </c>
      <c r="F24" s="26">
        <v>7.3551421851614283</v>
      </c>
      <c r="G24" s="26">
        <v>0.55591190934359636</v>
      </c>
      <c r="H24" s="26">
        <v>4.2762454564892027E-2</v>
      </c>
      <c r="I24" s="26" t="s">
        <v>189</v>
      </c>
      <c r="J24" s="26">
        <v>1.0262989095574087</v>
      </c>
      <c r="K24" s="26">
        <v>6.4143681847338041E-2</v>
      </c>
      <c r="L24" s="26">
        <v>37.246097926020951</v>
      </c>
      <c r="M24" s="26">
        <v>2.1595039555270472</v>
      </c>
    </row>
    <row r="25" spans="1:13" x14ac:dyDescent="0.2">
      <c r="A25" s="3" t="s">
        <v>19</v>
      </c>
      <c r="B25" s="26">
        <v>24.271822653398917</v>
      </c>
      <c r="C25" s="26">
        <v>10.569055012806855</v>
      </c>
      <c r="D25" s="26">
        <v>3.5207516376906862</v>
      </c>
      <c r="E25" s="26">
        <v>2.2151324886098331</v>
      </c>
      <c r="F25" s="26">
        <v>3.9667248452977311</v>
      </c>
      <c r="G25" s="26">
        <v>1.2495183262687852</v>
      </c>
      <c r="H25" s="26">
        <v>0.2210032413808736</v>
      </c>
      <c r="I25" s="26">
        <v>2.1380646916154769</v>
      </c>
      <c r="J25" s="26">
        <v>1.7090917333454223</v>
      </c>
      <c r="K25" s="26">
        <v>7.3667747126957865E-3</v>
      </c>
      <c r="L25" s="26">
        <v>14.26490921866854</v>
      </c>
      <c r="M25" s="26">
        <v>3.0056440827798809</v>
      </c>
    </row>
    <row r="26" spans="1:13" s="7" customFormat="1" ht="18.75" x14ac:dyDescent="0.2">
      <c r="A26" s="23" t="s">
        <v>103</v>
      </c>
      <c r="B26" s="18">
        <v>29.028013908704903</v>
      </c>
      <c r="C26" s="18">
        <v>13.367051405821494</v>
      </c>
      <c r="D26" s="18">
        <v>4.2067851925262065</v>
      </c>
      <c r="E26" s="18">
        <v>2.3870344898290461</v>
      </c>
      <c r="F26" s="18">
        <v>4.6706934702560465</v>
      </c>
      <c r="G26" s="18">
        <v>1.9086023801997454</v>
      </c>
      <c r="H26" s="18">
        <v>0.55105126912660507</v>
      </c>
      <c r="I26" s="18">
        <v>0.45365616109492607</v>
      </c>
      <c r="J26" s="18">
        <v>0.2563029158728396</v>
      </c>
      <c r="K26" s="18">
        <v>6.834744423275722E-3</v>
      </c>
      <c r="L26" s="18">
        <v>20.631530384710675</v>
      </c>
      <c r="M26" s="18">
        <v>2.7817409802732187</v>
      </c>
    </row>
    <row r="27" spans="1:13" x14ac:dyDescent="0.2">
      <c r="A27" s="3" t="s">
        <v>20</v>
      </c>
      <c r="B27" s="26">
        <v>46.325167037861917</v>
      </c>
      <c r="C27" s="26">
        <v>22.048997772828507</v>
      </c>
      <c r="D27" s="26">
        <v>1.8262806236080178</v>
      </c>
      <c r="E27" s="26">
        <v>1.4699331848552339</v>
      </c>
      <c r="F27" s="26">
        <v>3.4743875278396437</v>
      </c>
      <c r="G27" s="26">
        <v>1.9599109131403119</v>
      </c>
      <c r="H27" s="26" t="s">
        <v>189</v>
      </c>
      <c r="I27" s="26">
        <v>2.5389755011135859</v>
      </c>
      <c r="J27" s="26" t="s">
        <v>189</v>
      </c>
      <c r="K27" s="26" t="s">
        <v>189</v>
      </c>
      <c r="L27" s="26">
        <v>24.008908685968819</v>
      </c>
      <c r="M27" s="26">
        <v>12.42761692650334</v>
      </c>
    </row>
    <row r="28" spans="1:13" x14ac:dyDescent="0.2">
      <c r="A28" s="3" t="s">
        <v>21</v>
      </c>
      <c r="B28" s="26">
        <v>42.281066112841813</v>
      </c>
      <c r="C28" s="26">
        <v>17.393561786085151</v>
      </c>
      <c r="D28" s="26">
        <v>7.6323987538940807</v>
      </c>
      <c r="E28" s="26">
        <v>1.3326410522672205</v>
      </c>
      <c r="F28" s="26">
        <v>9.3457943925233646</v>
      </c>
      <c r="G28" s="26">
        <v>1.3153340256143995</v>
      </c>
      <c r="H28" s="26" t="s">
        <v>189</v>
      </c>
      <c r="I28" s="26">
        <v>2.0249221183800623</v>
      </c>
      <c r="J28" s="26">
        <v>0.79612322602976804</v>
      </c>
      <c r="K28" s="26" t="s">
        <v>189</v>
      </c>
      <c r="L28" s="26">
        <v>23.641398407753549</v>
      </c>
      <c r="M28" s="26">
        <v>3.3921772239529249</v>
      </c>
    </row>
    <row r="29" spans="1:13" x14ac:dyDescent="0.2">
      <c r="A29" s="3" t="s">
        <v>22</v>
      </c>
      <c r="B29" s="26">
        <v>33.162313432835823</v>
      </c>
      <c r="C29" s="26">
        <v>13.292910447761194</v>
      </c>
      <c r="D29" s="26">
        <v>6.0323383084577111</v>
      </c>
      <c r="E29" s="26">
        <v>1.8812189054726369</v>
      </c>
      <c r="F29" s="26">
        <v>4.8351990049751246</v>
      </c>
      <c r="G29" s="26">
        <v>0.90174129353233834</v>
      </c>
      <c r="H29" s="26">
        <v>6.2189054726368161E-2</v>
      </c>
      <c r="I29" s="26">
        <v>0.35758706467661694</v>
      </c>
      <c r="J29" s="26" t="s">
        <v>189</v>
      </c>
      <c r="K29" s="26" t="s">
        <v>189</v>
      </c>
      <c r="L29" s="26">
        <v>19.822761194029852</v>
      </c>
      <c r="M29" s="26">
        <v>0.99502487562189057</v>
      </c>
    </row>
    <row r="30" spans="1:13" x14ac:dyDescent="0.2">
      <c r="A30" s="30" t="s">
        <v>63</v>
      </c>
      <c r="B30" s="26"/>
      <c r="C30" s="26"/>
      <c r="D30" s="26"/>
      <c r="E30" s="26"/>
      <c r="F30" s="26"/>
      <c r="G30" s="26"/>
      <c r="H30" s="26"/>
      <c r="I30" s="26"/>
      <c r="J30" s="26"/>
      <c r="K30" s="26" t="s">
        <v>189</v>
      </c>
      <c r="L30" s="26"/>
      <c r="M30" s="26"/>
    </row>
    <row r="31" spans="1:13" x14ac:dyDescent="0.2">
      <c r="A31" s="6" t="s">
        <v>24</v>
      </c>
      <c r="B31" s="26">
        <v>18.185358255451714</v>
      </c>
      <c r="C31" s="26">
        <v>10.825545171339565</v>
      </c>
      <c r="D31" s="26">
        <v>2.5311526479750777</v>
      </c>
      <c r="E31" s="26">
        <v>0.23364485981308411</v>
      </c>
      <c r="F31" s="26">
        <v>6.3862928348909653</v>
      </c>
      <c r="G31" s="26">
        <v>0.661993769470405</v>
      </c>
      <c r="H31" s="26">
        <v>0.1557632398753894</v>
      </c>
      <c r="I31" s="26">
        <v>0.19470404984423675</v>
      </c>
      <c r="J31" s="26" t="s">
        <v>189</v>
      </c>
      <c r="K31" s="26" t="s">
        <v>189</v>
      </c>
      <c r="L31" s="26">
        <v>7.3208722741433023</v>
      </c>
      <c r="M31" s="26">
        <v>0.3115264797507788</v>
      </c>
    </row>
    <row r="32" spans="1:13" ht="19.5" x14ac:dyDescent="0.2">
      <c r="A32" s="6" t="s">
        <v>87</v>
      </c>
      <c r="B32" s="26">
        <v>43.115942028985508</v>
      </c>
      <c r="C32" s="26">
        <v>14.932712215320912</v>
      </c>
      <c r="D32" s="26">
        <v>8.3592132505175982</v>
      </c>
      <c r="E32" s="26">
        <v>2.9761904761904763</v>
      </c>
      <c r="F32" s="26">
        <v>3.8043478260869565</v>
      </c>
      <c r="G32" s="26">
        <v>1.0610766045548654</v>
      </c>
      <c r="H32" s="26" t="s">
        <v>189</v>
      </c>
      <c r="I32" s="26">
        <v>0.46583850931677018</v>
      </c>
      <c r="J32" s="26" t="s">
        <v>189</v>
      </c>
      <c r="K32" s="26" t="s">
        <v>189</v>
      </c>
      <c r="L32" s="26">
        <v>28.131469979296067</v>
      </c>
      <c r="M32" s="26">
        <v>1.4492753623188406</v>
      </c>
    </row>
    <row r="33" spans="1:13" x14ac:dyDescent="0.2">
      <c r="A33" s="3" t="s">
        <v>25</v>
      </c>
      <c r="B33" s="26">
        <v>36.487438365813574</v>
      </c>
      <c r="C33" s="26">
        <v>22.552242310401503</v>
      </c>
      <c r="D33" s="26">
        <v>7.501760976755107</v>
      </c>
      <c r="E33" s="26">
        <v>8.2883305940361591</v>
      </c>
      <c r="F33" s="26">
        <v>7.8656961728105186</v>
      </c>
      <c r="G33" s="26">
        <v>1.7374970650387416</v>
      </c>
      <c r="H33" s="26">
        <v>0.12913829537450106</v>
      </c>
      <c r="I33" s="26">
        <v>2.34796900680911E-2</v>
      </c>
      <c r="J33" s="26">
        <v>1.1387649683024184</v>
      </c>
      <c r="K33" s="26">
        <v>2.34796900680911E-2</v>
      </c>
      <c r="L33" s="26">
        <v>24.195820615167879</v>
      </c>
      <c r="M33" s="26">
        <v>6.1986381779760507</v>
      </c>
    </row>
    <row r="34" spans="1:13" x14ac:dyDescent="0.2">
      <c r="A34" s="3" t="s">
        <v>26</v>
      </c>
      <c r="B34" s="26">
        <v>28.594726827942377</v>
      </c>
      <c r="C34" s="26">
        <v>15.08562109268823</v>
      </c>
      <c r="D34" s="26">
        <v>2.1745039412883935</v>
      </c>
      <c r="E34" s="26">
        <v>0.1359064963305246</v>
      </c>
      <c r="F34" s="26">
        <v>2.3647730361511279</v>
      </c>
      <c r="G34" s="26">
        <v>0.65235118238651812</v>
      </c>
      <c r="H34" s="26" t="s">
        <v>189</v>
      </c>
      <c r="I34" s="26" t="s">
        <v>189</v>
      </c>
      <c r="J34" s="26">
        <v>2.5550421310138627</v>
      </c>
      <c r="K34" s="26" t="s">
        <v>189</v>
      </c>
      <c r="L34" s="26">
        <v>20.059798858385431</v>
      </c>
      <c r="M34" s="26">
        <v>8.9426474585485192</v>
      </c>
    </row>
    <row r="35" spans="1:13" x14ac:dyDescent="0.2">
      <c r="A35" s="3" t="s">
        <v>27</v>
      </c>
      <c r="B35" s="26">
        <v>33.206106870229007</v>
      </c>
      <c r="C35" s="26">
        <v>15.021092808356769</v>
      </c>
      <c r="D35" s="26">
        <v>3.2292085174768985</v>
      </c>
      <c r="E35" s="26">
        <v>2.1846122940940136</v>
      </c>
      <c r="F35" s="26">
        <v>7.1866211329851346</v>
      </c>
      <c r="G35" s="26">
        <v>2.7872639614302934</v>
      </c>
      <c r="H35" s="26">
        <v>2.4658497388509439</v>
      </c>
      <c r="I35" s="26">
        <v>0.89895540377661709</v>
      </c>
      <c r="J35" s="26">
        <v>5.524306950582563E-2</v>
      </c>
      <c r="K35" s="26" t="s">
        <v>189</v>
      </c>
      <c r="L35" s="26">
        <v>24.060867818400965</v>
      </c>
      <c r="M35" s="26">
        <v>1.5468059461631176</v>
      </c>
    </row>
    <row r="36" spans="1:13" x14ac:dyDescent="0.2">
      <c r="A36" s="3" t="s">
        <v>28</v>
      </c>
      <c r="B36" s="26">
        <v>32.958776145671159</v>
      </c>
      <c r="C36" s="26">
        <v>23.014959723820482</v>
      </c>
      <c r="D36" s="26">
        <v>12.414540039260814</v>
      </c>
      <c r="E36" s="26">
        <v>7.2226358897989575</v>
      </c>
      <c r="F36" s="26">
        <v>7.7709334596899753</v>
      </c>
      <c r="G36" s="26">
        <v>4.0750016922764507</v>
      </c>
      <c r="H36" s="26">
        <v>0.18953496243146281</v>
      </c>
      <c r="I36" s="26">
        <v>0.46706830027753332</v>
      </c>
      <c r="J36" s="26">
        <v>0.16922764502809179</v>
      </c>
      <c r="K36" s="26">
        <v>4.0614634806742031E-2</v>
      </c>
      <c r="L36" s="26">
        <v>28.13240370946998</v>
      </c>
      <c r="M36" s="26">
        <v>1.712583767684289</v>
      </c>
    </row>
    <row r="37" spans="1:13" x14ac:dyDescent="0.2">
      <c r="A37" s="3" t="s">
        <v>29</v>
      </c>
      <c r="B37" s="26">
        <v>52.166758091058696</v>
      </c>
      <c r="C37" s="26">
        <v>16.511245200219417</v>
      </c>
      <c r="D37" s="26">
        <v>0.65825562260010972</v>
      </c>
      <c r="E37" s="26">
        <v>0.98738343390016459</v>
      </c>
      <c r="F37" s="26">
        <v>4.0592430060340101</v>
      </c>
      <c r="G37" s="26">
        <v>0.27427317608337903</v>
      </c>
      <c r="H37" s="26" t="s">
        <v>189</v>
      </c>
      <c r="I37" s="26" t="s">
        <v>189</v>
      </c>
      <c r="J37" s="26" t="s">
        <v>189</v>
      </c>
      <c r="K37" s="26" t="s">
        <v>189</v>
      </c>
      <c r="L37" s="26">
        <v>29.950630828304991</v>
      </c>
      <c r="M37" s="26">
        <v>10.586944596818432</v>
      </c>
    </row>
    <row r="38" spans="1:13" x14ac:dyDescent="0.2">
      <c r="A38" s="3" t="s">
        <v>30</v>
      </c>
      <c r="B38" s="26">
        <v>23.218997361477573</v>
      </c>
      <c r="C38" s="26">
        <v>13.852242744063325</v>
      </c>
      <c r="D38" s="26">
        <v>12.796833773087071</v>
      </c>
      <c r="E38" s="26">
        <v>0.92348284960422167</v>
      </c>
      <c r="F38" s="26">
        <v>1.187335092348285</v>
      </c>
      <c r="G38" s="26" t="s">
        <v>189</v>
      </c>
      <c r="H38" s="26">
        <v>0.13192612137203166</v>
      </c>
      <c r="I38" s="26" t="s">
        <v>189</v>
      </c>
      <c r="J38" s="26" t="s">
        <v>189</v>
      </c>
      <c r="K38" s="26" t="s">
        <v>189</v>
      </c>
      <c r="L38" s="26">
        <v>13.984168865435356</v>
      </c>
      <c r="M38" s="26">
        <v>3.8258575197889182</v>
      </c>
    </row>
    <row r="39" spans="1:13" x14ac:dyDescent="0.2">
      <c r="A39" s="3" t="s">
        <v>31</v>
      </c>
      <c r="B39" s="26">
        <v>21.819653309743842</v>
      </c>
      <c r="C39" s="26">
        <v>7.5624400067757049</v>
      </c>
      <c r="D39" s="26">
        <v>1.4097231371515688</v>
      </c>
      <c r="E39" s="26">
        <v>0.61169562025935897</v>
      </c>
      <c r="F39" s="26">
        <v>2.1061150740622234</v>
      </c>
      <c r="G39" s="26">
        <v>1.3589053471607913</v>
      </c>
      <c r="H39" s="26">
        <v>0.20703544070316765</v>
      </c>
      <c r="I39" s="26">
        <v>0.15809979108241892</v>
      </c>
      <c r="J39" s="26">
        <v>5.0817789990777511E-2</v>
      </c>
      <c r="K39" s="26" t="s">
        <v>189</v>
      </c>
      <c r="L39" s="26">
        <v>16.131825111516818</v>
      </c>
      <c r="M39" s="26">
        <v>2.0270651785210143</v>
      </c>
    </row>
    <row r="40" spans="1:13" s="7" customFormat="1" ht="18.75" x14ac:dyDescent="0.2">
      <c r="A40" s="23" t="s">
        <v>104</v>
      </c>
      <c r="B40" s="18">
        <v>32.622090950756224</v>
      </c>
      <c r="C40" s="18">
        <v>12.593573356419006</v>
      </c>
      <c r="D40" s="18">
        <v>6.4839333910475121</v>
      </c>
      <c r="E40" s="18">
        <v>2.3017772572185162</v>
      </c>
      <c r="F40" s="18">
        <v>6.5743239802413811</v>
      </c>
      <c r="G40" s="18">
        <v>1.0554056118551713</v>
      </c>
      <c r="H40" s="18">
        <v>0.21897438508937211</v>
      </c>
      <c r="I40" s="18">
        <v>0.89881346437846921</v>
      </c>
      <c r="J40" s="18">
        <v>0.12349136833528543</v>
      </c>
      <c r="K40" s="18">
        <v>0.4264908081682538</v>
      </c>
      <c r="L40" s="18">
        <v>21.351275653103833</v>
      </c>
      <c r="M40" s="18">
        <v>2.8084737994602027</v>
      </c>
    </row>
    <row r="41" spans="1:13" x14ac:dyDescent="0.2">
      <c r="A41" s="3" t="s">
        <v>89</v>
      </c>
      <c r="B41" s="26">
        <v>20.840152755046372</v>
      </c>
      <c r="C41" s="26">
        <v>12.547735951991271</v>
      </c>
      <c r="D41" s="26">
        <v>5.5100927441352976</v>
      </c>
      <c r="E41" s="26">
        <v>1.4184397163120568</v>
      </c>
      <c r="F41" s="26">
        <v>7.7468630660120024</v>
      </c>
      <c r="G41" s="26">
        <v>0.38188761593016912</v>
      </c>
      <c r="H41" s="26" t="s">
        <v>189</v>
      </c>
      <c r="I41" s="26">
        <v>1.4184397163120568</v>
      </c>
      <c r="J41" s="26">
        <v>0.38188761593016912</v>
      </c>
      <c r="K41" s="26" t="s">
        <v>189</v>
      </c>
      <c r="L41" s="26">
        <v>13.311511183851609</v>
      </c>
      <c r="M41" s="26">
        <v>7.0376432078559734</v>
      </c>
    </row>
    <row r="42" spans="1:13" x14ac:dyDescent="0.2">
      <c r="A42" s="3" t="s">
        <v>33</v>
      </c>
      <c r="B42" s="26">
        <v>12.608695652173912</v>
      </c>
      <c r="C42" s="26">
        <v>1.3043478260869565</v>
      </c>
      <c r="D42" s="26">
        <v>1.3043478260869565</v>
      </c>
      <c r="E42" s="26">
        <v>2.1739130434782608</v>
      </c>
      <c r="F42" s="26">
        <v>2.6086956521739131</v>
      </c>
      <c r="G42" s="26">
        <v>0.43478260869565216</v>
      </c>
      <c r="H42" s="26" t="s">
        <v>189</v>
      </c>
      <c r="I42" s="26">
        <v>0.43478260869565216</v>
      </c>
      <c r="J42" s="26">
        <v>0.86956521739130432</v>
      </c>
      <c r="K42" s="26" t="s">
        <v>189</v>
      </c>
      <c r="L42" s="26">
        <v>9.1304347826086953</v>
      </c>
      <c r="M42" s="26">
        <v>1.3043478260869565</v>
      </c>
    </row>
    <row r="43" spans="1:13" x14ac:dyDescent="0.2">
      <c r="A43" s="3" t="s">
        <v>119</v>
      </c>
      <c r="B43" s="26">
        <v>28.09574752607649</v>
      </c>
      <c r="C43" s="26">
        <v>9.6817330837122224</v>
      </c>
      <c r="D43" s="26">
        <v>2.3134527948649373</v>
      </c>
      <c r="E43" s="26">
        <v>0.22733351163412677</v>
      </c>
      <c r="F43" s="26">
        <v>1.898903450120353</v>
      </c>
      <c r="G43" s="26">
        <v>0.86921636801283764</v>
      </c>
      <c r="H43" s="26">
        <v>1.3372559507889811E-2</v>
      </c>
      <c r="I43" s="26">
        <v>0.56164749933137204</v>
      </c>
      <c r="J43" s="26">
        <v>0.20058839261834716</v>
      </c>
      <c r="K43" s="26">
        <v>1.3372559507889811E-2</v>
      </c>
      <c r="L43" s="26">
        <v>13.920834447713291</v>
      </c>
      <c r="M43" s="26">
        <v>5.5763573147900507</v>
      </c>
    </row>
    <row r="44" spans="1:13" x14ac:dyDescent="0.2">
      <c r="A44" s="3" t="s">
        <v>34</v>
      </c>
      <c r="B44" s="26">
        <v>35.101733669068913</v>
      </c>
      <c r="C44" s="26">
        <v>11.976498509449799</v>
      </c>
      <c r="D44" s="26">
        <v>8.3297154930392754</v>
      </c>
      <c r="E44" s="26">
        <v>2.4919683945471913</v>
      </c>
      <c r="F44" s="26">
        <v>7.8145350351654077</v>
      </c>
      <c r="G44" s="26">
        <v>0.94063847645509535</v>
      </c>
      <c r="H44" s="26">
        <v>0.24890741223119447</v>
      </c>
      <c r="I44" s="26">
        <v>1.0014181933952708</v>
      </c>
      <c r="J44" s="26">
        <v>0.19102196752626552</v>
      </c>
      <c r="K44" s="26">
        <v>0.23733032329020867</v>
      </c>
      <c r="L44" s="26">
        <v>26.068710022864749</v>
      </c>
      <c r="M44" s="26">
        <v>3.0187259413620446</v>
      </c>
    </row>
    <row r="45" spans="1:13" x14ac:dyDescent="0.2">
      <c r="A45" s="3" t="s">
        <v>35</v>
      </c>
      <c r="B45" s="26">
        <v>36.693191865605655</v>
      </c>
      <c r="C45" s="26">
        <v>6.7639257294429704</v>
      </c>
      <c r="D45" s="26">
        <v>1.7683465959328029</v>
      </c>
      <c r="E45" s="26">
        <v>0.22104332449160036</v>
      </c>
      <c r="F45" s="26">
        <v>6.8965517241379306</v>
      </c>
      <c r="G45" s="26">
        <v>2.3430592396109637</v>
      </c>
      <c r="H45" s="26">
        <v>0.9725906277630415</v>
      </c>
      <c r="I45" s="26">
        <v>8.8417329796640146E-2</v>
      </c>
      <c r="J45" s="26">
        <v>0.13262599469496023</v>
      </c>
      <c r="K45" s="26">
        <v>8.8417329796640146E-2</v>
      </c>
      <c r="L45" s="26">
        <v>21.220159151193634</v>
      </c>
      <c r="M45" s="26">
        <v>0.86206896551724133</v>
      </c>
    </row>
    <row r="46" spans="1:13" x14ac:dyDescent="0.2">
      <c r="A46" s="3" t="s">
        <v>36</v>
      </c>
      <c r="B46" s="26">
        <v>23.301508233015081</v>
      </c>
      <c r="C46" s="26">
        <v>13.186661131866611</v>
      </c>
      <c r="D46" s="26">
        <v>3.2240210322402105</v>
      </c>
      <c r="E46" s="26">
        <v>5.839214058392141</v>
      </c>
      <c r="F46" s="26">
        <v>5.9499100594991008</v>
      </c>
      <c r="G46" s="26">
        <v>1.1207970112079702</v>
      </c>
      <c r="H46" s="26" t="s">
        <v>189</v>
      </c>
      <c r="I46" s="26">
        <v>3.4592500345925004</v>
      </c>
      <c r="J46" s="26" t="s">
        <v>189</v>
      </c>
      <c r="K46" s="26" t="s">
        <v>189</v>
      </c>
      <c r="L46" s="26">
        <v>14.348969143489692</v>
      </c>
      <c r="M46" s="26">
        <v>1.6327660163276601</v>
      </c>
    </row>
    <row r="47" spans="1:13" x14ac:dyDescent="0.2">
      <c r="A47" s="3" t="s">
        <v>37</v>
      </c>
      <c r="B47" s="26">
        <v>33.773882396586906</v>
      </c>
      <c r="C47" s="26">
        <v>14.876646262289</v>
      </c>
      <c r="D47" s="26">
        <v>6.9606751994064178</v>
      </c>
      <c r="E47" s="26">
        <v>2.1656464477833426</v>
      </c>
      <c r="F47" s="26">
        <v>6.5294008532739749</v>
      </c>
      <c r="G47" s="26">
        <v>1.1315154887775922</v>
      </c>
      <c r="H47" s="26">
        <v>0.19013170098312002</v>
      </c>
      <c r="I47" s="26">
        <v>0.17158226674086441</v>
      </c>
      <c r="J47" s="26">
        <v>4.6373585605639029E-3</v>
      </c>
      <c r="K47" s="26">
        <v>1.1500649230198479</v>
      </c>
      <c r="L47" s="26">
        <v>19.690224448154332</v>
      </c>
      <c r="M47" s="26">
        <v>1.5442404006677797</v>
      </c>
    </row>
    <row r="48" spans="1:13" x14ac:dyDescent="0.2">
      <c r="A48" s="3" t="s">
        <v>120</v>
      </c>
      <c r="B48" s="26">
        <v>31.288343558282207</v>
      </c>
      <c r="C48" s="26">
        <v>28.92199824715162</v>
      </c>
      <c r="D48" s="26">
        <v>10.867659947414548</v>
      </c>
      <c r="E48" s="26" t="s">
        <v>189</v>
      </c>
      <c r="F48" s="26">
        <v>2.1034180543382996</v>
      </c>
      <c r="G48" s="26" t="s">
        <v>189</v>
      </c>
      <c r="H48" s="26" t="s">
        <v>189</v>
      </c>
      <c r="I48" s="26" t="s">
        <v>189</v>
      </c>
      <c r="J48" s="26" t="s">
        <v>189</v>
      </c>
      <c r="K48" s="26" t="s">
        <v>189</v>
      </c>
      <c r="L48" s="26">
        <v>18.843120070113937</v>
      </c>
      <c r="M48" s="26">
        <v>10.867659947414548</v>
      </c>
    </row>
    <row r="49" spans="1:13" s="7" customFormat="1" ht="18.75" x14ac:dyDescent="0.2">
      <c r="A49" s="23" t="s">
        <v>105</v>
      </c>
      <c r="B49" s="18">
        <v>23.959909228441756</v>
      </c>
      <c r="C49" s="18">
        <v>7.6903681290973269</v>
      </c>
      <c r="D49" s="18">
        <v>7.7660110943015637</v>
      </c>
      <c r="E49" s="18">
        <v>1.285930408472012</v>
      </c>
      <c r="F49" s="18">
        <v>2.7609682299546141</v>
      </c>
      <c r="G49" s="18">
        <v>0.69969742813918301</v>
      </c>
      <c r="H49" s="18">
        <v>0.30887544125063038</v>
      </c>
      <c r="I49" s="18">
        <v>0.81946545637922341</v>
      </c>
      <c r="J49" s="18">
        <v>0.45385779122541603</v>
      </c>
      <c r="K49" s="18">
        <v>0.11976802824004035</v>
      </c>
      <c r="L49" s="18">
        <v>16.414523449319212</v>
      </c>
      <c r="M49" s="18">
        <v>1.5948058497226425</v>
      </c>
    </row>
    <row r="50" spans="1:13" x14ac:dyDescent="0.2">
      <c r="A50" s="3" t="s">
        <v>38</v>
      </c>
      <c r="B50" s="26">
        <v>11.841491841491841</v>
      </c>
      <c r="C50" s="26">
        <v>3.4265734265734267</v>
      </c>
      <c r="D50" s="26">
        <v>3.1002331002331003</v>
      </c>
      <c r="E50" s="26">
        <v>0.79254079254079257</v>
      </c>
      <c r="F50" s="26">
        <v>0.86247086247086246</v>
      </c>
      <c r="G50" s="26" t="s">
        <v>189</v>
      </c>
      <c r="H50" s="26" t="s">
        <v>189</v>
      </c>
      <c r="I50" s="26">
        <v>2.5641025641025643</v>
      </c>
      <c r="J50" s="26" t="s">
        <v>189</v>
      </c>
      <c r="K50" s="26" t="s">
        <v>189</v>
      </c>
      <c r="L50" s="26">
        <v>5.8741258741258742</v>
      </c>
      <c r="M50" s="26" t="s">
        <v>189</v>
      </c>
    </row>
    <row r="51" spans="1:13" x14ac:dyDescent="0.2">
      <c r="A51" s="3" t="s">
        <v>39</v>
      </c>
      <c r="B51" s="26" t="s">
        <v>189</v>
      </c>
      <c r="C51" s="26" t="s">
        <v>189</v>
      </c>
      <c r="D51" s="26" t="s">
        <v>189</v>
      </c>
      <c r="E51" s="26" t="s">
        <v>189</v>
      </c>
      <c r="F51" s="26" t="s">
        <v>189</v>
      </c>
      <c r="G51" s="26" t="s">
        <v>189</v>
      </c>
      <c r="H51" s="26" t="s">
        <v>189</v>
      </c>
      <c r="I51" s="26" t="s">
        <v>189</v>
      </c>
      <c r="J51" s="26" t="s">
        <v>189</v>
      </c>
      <c r="K51" s="26" t="s">
        <v>189</v>
      </c>
      <c r="L51" s="26" t="s">
        <v>189</v>
      </c>
      <c r="M51" s="26" t="s">
        <v>189</v>
      </c>
    </row>
    <row r="52" spans="1:13" ht="19.5" x14ac:dyDescent="0.2">
      <c r="A52" s="3" t="s">
        <v>40</v>
      </c>
      <c r="B52" s="26">
        <v>33.391915641476274</v>
      </c>
      <c r="C52" s="26">
        <v>29.525483304042179</v>
      </c>
      <c r="D52" s="26">
        <v>23.198594024604571</v>
      </c>
      <c r="E52" s="26" t="s">
        <v>189</v>
      </c>
      <c r="F52" s="26">
        <v>0.52724077328646746</v>
      </c>
      <c r="G52" s="26" t="s">
        <v>189</v>
      </c>
      <c r="H52" s="26" t="s">
        <v>189</v>
      </c>
      <c r="I52" s="26">
        <v>0.35149384885764501</v>
      </c>
      <c r="J52" s="26" t="s">
        <v>189</v>
      </c>
      <c r="K52" s="26" t="s">
        <v>189</v>
      </c>
      <c r="L52" s="26">
        <v>15.289982425307556</v>
      </c>
      <c r="M52" s="26">
        <v>2.2847100175746924</v>
      </c>
    </row>
    <row r="53" spans="1:13" ht="19.5" x14ac:dyDescent="0.2">
      <c r="A53" s="3" t="s">
        <v>41</v>
      </c>
      <c r="B53" s="26">
        <v>60.223367697594504</v>
      </c>
      <c r="C53" s="26">
        <v>4.4673539518900345</v>
      </c>
      <c r="D53" s="26">
        <v>32.47422680412371</v>
      </c>
      <c r="E53" s="26">
        <v>9.4501718213058421</v>
      </c>
      <c r="F53" s="26">
        <v>3.2646048109965635</v>
      </c>
      <c r="G53" s="26" t="s">
        <v>189</v>
      </c>
      <c r="H53" s="26">
        <v>2.1477663230240549</v>
      </c>
      <c r="I53" s="26">
        <v>0.85910652920962194</v>
      </c>
      <c r="J53" s="26">
        <v>6.0996563573883158</v>
      </c>
      <c r="K53" s="26">
        <v>0.1718213058419244</v>
      </c>
      <c r="L53" s="26">
        <v>56.958762886597938</v>
      </c>
      <c r="M53" s="26" t="s">
        <v>189</v>
      </c>
    </row>
    <row r="54" spans="1:13" ht="19.5" x14ac:dyDescent="0.2">
      <c r="A54" s="3" t="s">
        <v>91</v>
      </c>
      <c r="B54" s="26">
        <v>18.554861730597679</v>
      </c>
      <c r="C54" s="26">
        <v>3.7466547725245318</v>
      </c>
      <c r="D54" s="26">
        <v>6.6012488849241748</v>
      </c>
      <c r="E54" s="26">
        <v>0.89206066012488849</v>
      </c>
      <c r="F54" s="26">
        <v>2.854594112399643</v>
      </c>
      <c r="G54" s="26">
        <v>0.80285459411239968</v>
      </c>
      <c r="H54" s="26" t="s">
        <v>189</v>
      </c>
      <c r="I54" s="26" t="s">
        <v>189</v>
      </c>
      <c r="J54" s="26" t="s">
        <v>189</v>
      </c>
      <c r="K54" s="26">
        <v>0.62444246208742193</v>
      </c>
      <c r="L54" s="26">
        <v>13.648528099910793</v>
      </c>
      <c r="M54" s="26">
        <v>0.35682426404995538</v>
      </c>
    </row>
    <row r="55" spans="1:13" x14ac:dyDescent="0.2">
      <c r="A55" s="3" t="s">
        <v>43</v>
      </c>
      <c r="B55" s="26">
        <v>5.75</v>
      </c>
      <c r="C55" s="26">
        <v>1.55</v>
      </c>
      <c r="D55" s="26">
        <v>1.6</v>
      </c>
      <c r="E55" s="26">
        <v>0.35</v>
      </c>
      <c r="F55" s="26">
        <v>1.4</v>
      </c>
      <c r="G55" s="26" t="s">
        <v>189</v>
      </c>
      <c r="H55" s="26" t="s">
        <v>189</v>
      </c>
      <c r="I55" s="26">
        <v>0.1</v>
      </c>
      <c r="J55" s="26">
        <v>0.05</v>
      </c>
      <c r="K55" s="26" t="s">
        <v>189</v>
      </c>
      <c r="L55" s="26">
        <v>2.25</v>
      </c>
      <c r="M55" s="26">
        <v>2.9</v>
      </c>
    </row>
    <row r="56" spans="1:13" x14ac:dyDescent="0.2">
      <c r="A56" s="3" t="s">
        <v>45</v>
      </c>
      <c r="B56" s="26">
        <v>32.47422680412371</v>
      </c>
      <c r="C56" s="26">
        <v>12.183692596063731</v>
      </c>
      <c r="D56" s="26">
        <v>7.5445173383317714</v>
      </c>
      <c r="E56" s="26">
        <v>0.67166510465479534</v>
      </c>
      <c r="F56" s="26">
        <v>4.6860356138706658</v>
      </c>
      <c r="G56" s="26">
        <v>1.5932521087160263</v>
      </c>
      <c r="H56" s="26">
        <v>0.37488284910965325</v>
      </c>
      <c r="I56" s="26">
        <v>9.3720712277413312E-2</v>
      </c>
      <c r="J56" s="26" t="s">
        <v>189</v>
      </c>
      <c r="K56" s="26">
        <v>0.15620118712902217</v>
      </c>
      <c r="L56" s="26">
        <v>21.930646672914715</v>
      </c>
      <c r="M56" s="26">
        <v>2.7803811308965947</v>
      </c>
    </row>
    <row r="57" spans="1:13" s="7" customFormat="1" ht="18.75" x14ac:dyDescent="0.2">
      <c r="A57" s="23" t="s">
        <v>106</v>
      </c>
      <c r="B57" s="18">
        <v>39.444034472761771</v>
      </c>
      <c r="C57" s="18">
        <v>16.595946551406055</v>
      </c>
      <c r="D57" s="18">
        <v>5.9628917059800228</v>
      </c>
      <c r="E57" s="18">
        <v>3.5461086366391692</v>
      </c>
      <c r="F57" s="18">
        <v>7.6720343673404843</v>
      </c>
      <c r="G57" s="18">
        <v>2.1169912763882666</v>
      </c>
      <c r="H57" s="18">
        <v>0.41443744564214741</v>
      </c>
      <c r="I57" s="18">
        <v>1.4343884247423768</v>
      </c>
      <c r="J57" s="18">
        <v>0.83151042353003191</v>
      </c>
      <c r="K57" s="18">
        <v>0.1581319347442216</v>
      </c>
      <c r="L57" s="18">
        <v>27.006298922067312</v>
      </c>
      <c r="M57" s="18">
        <v>3.6060669952296864</v>
      </c>
    </row>
    <row r="58" spans="1:13" x14ac:dyDescent="0.2">
      <c r="A58" s="3" t="s">
        <v>46</v>
      </c>
      <c r="B58" s="26">
        <v>28.957408435072143</v>
      </c>
      <c r="C58" s="26">
        <v>12.683823529411764</v>
      </c>
      <c r="D58" s="26">
        <v>2.5804661487236404</v>
      </c>
      <c r="E58" s="26">
        <v>5.5251109877913427</v>
      </c>
      <c r="F58" s="26">
        <v>6.2604051054384016</v>
      </c>
      <c r="G58" s="26">
        <v>1.4116259711431742</v>
      </c>
      <c r="H58" s="26">
        <v>0.12139289678135405</v>
      </c>
      <c r="I58" s="26">
        <v>1.838235294117647</v>
      </c>
      <c r="J58" s="26">
        <v>0.16995005549389566</v>
      </c>
      <c r="K58" s="26">
        <v>2.774694783573807E-2</v>
      </c>
      <c r="L58" s="26">
        <v>15.704772475027747</v>
      </c>
      <c r="M58" s="26">
        <v>1.7064372918978912</v>
      </c>
    </row>
    <row r="59" spans="1:13" x14ac:dyDescent="0.2">
      <c r="A59" s="3" t="s">
        <v>47</v>
      </c>
      <c r="B59" s="26">
        <v>51.045296167247386</v>
      </c>
      <c r="C59" s="26">
        <v>13.472706155632984</v>
      </c>
      <c r="D59" s="26">
        <v>17.421602787456447</v>
      </c>
      <c r="E59" s="26">
        <v>5.6329849012775846</v>
      </c>
      <c r="F59" s="26">
        <v>9.0011614401858306</v>
      </c>
      <c r="G59" s="26">
        <v>2.5551684088269453</v>
      </c>
      <c r="H59" s="26" t="s">
        <v>189</v>
      </c>
      <c r="I59" s="26">
        <v>0.11614401858304298</v>
      </c>
      <c r="J59" s="26" t="s">
        <v>189</v>
      </c>
      <c r="K59" s="26" t="s">
        <v>189</v>
      </c>
      <c r="L59" s="26">
        <v>31.533101045296167</v>
      </c>
      <c r="M59" s="26">
        <v>1.684088269454123</v>
      </c>
    </row>
    <row r="60" spans="1:13" x14ac:dyDescent="0.2">
      <c r="A60" s="3" t="s">
        <v>48</v>
      </c>
      <c r="B60" s="26">
        <v>28.04100858963702</v>
      </c>
      <c r="C60" s="26">
        <v>12.718204488778055</v>
      </c>
      <c r="D60" s="26">
        <v>5.4862842892768082</v>
      </c>
      <c r="E60" s="26">
        <v>0.27708506511499031</v>
      </c>
      <c r="F60" s="26">
        <v>3.7406483790523692</v>
      </c>
      <c r="G60" s="26">
        <v>0.5264616237184816</v>
      </c>
      <c r="H60" s="26" t="s">
        <v>189</v>
      </c>
      <c r="I60" s="26">
        <v>5.5417013022998063E-2</v>
      </c>
      <c r="J60" s="26" t="s">
        <v>189</v>
      </c>
      <c r="K60" s="26">
        <v>0.24937655860349128</v>
      </c>
      <c r="L60" s="26">
        <v>14.214463840399002</v>
      </c>
      <c r="M60" s="26">
        <v>0.5264616237184816</v>
      </c>
    </row>
    <row r="61" spans="1:13" x14ac:dyDescent="0.2">
      <c r="A61" s="3" t="s">
        <v>90</v>
      </c>
      <c r="B61" s="26">
        <v>44.874886946035573</v>
      </c>
      <c r="C61" s="26">
        <v>19.66536026529997</v>
      </c>
      <c r="D61" s="26">
        <v>5.9722640940608986</v>
      </c>
      <c r="E61" s="26">
        <v>2.2942417847452519</v>
      </c>
      <c r="F61" s="26">
        <v>5.4597527886644555</v>
      </c>
      <c r="G61" s="26">
        <v>2.0078384082001808</v>
      </c>
      <c r="H61" s="26">
        <v>3.6177268616219477E-2</v>
      </c>
      <c r="I61" s="26">
        <v>1.4561350618028339</v>
      </c>
      <c r="J61" s="26">
        <v>1.4621646065722038</v>
      </c>
      <c r="K61" s="26">
        <v>9.0443171540548692E-3</v>
      </c>
      <c r="L61" s="26">
        <v>40.006029544769369</v>
      </c>
      <c r="M61" s="26">
        <v>5.83961410913476</v>
      </c>
    </row>
    <row r="62" spans="1:13" x14ac:dyDescent="0.2">
      <c r="A62" s="3" t="s">
        <v>50</v>
      </c>
      <c r="B62" s="26">
        <v>55.161335382036597</v>
      </c>
      <c r="C62" s="26">
        <v>22.93616426875262</v>
      </c>
      <c r="D62" s="26">
        <v>10.713786841737672</v>
      </c>
      <c r="E62" s="26">
        <v>6.7188154770219306</v>
      </c>
      <c r="F62" s="26">
        <v>8.5486799832378821</v>
      </c>
      <c r="G62" s="26">
        <v>0.82413744936443634</v>
      </c>
      <c r="H62" s="26">
        <v>2.3606648973320294</v>
      </c>
      <c r="I62" s="26">
        <v>6.7886576337477305</v>
      </c>
      <c r="J62" s="26">
        <v>1.7600223494901523</v>
      </c>
      <c r="K62" s="26">
        <v>4.1905294035479816E-2</v>
      </c>
      <c r="L62" s="26">
        <v>42.673557759463613</v>
      </c>
      <c r="M62" s="26">
        <v>1.145411370303115</v>
      </c>
    </row>
    <row r="63" spans="1:13" x14ac:dyDescent="0.2">
      <c r="A63" s="3" t="s">
        <v>51</v>
      </c>
      <c r="B63" s="26">
        <v>43.093289689034371</v>
      </c>
      <c r="C63" s="26">
        <v>18.494271685761049</v>
      </c>
      <c r="D63" s="26">
        <v>9.7381342062193124</v>
      </c>
      <c r="E63" s="26">
        <v>0.93289689034369883</v>
      </c>
      <c r="F63" s="26">
        <v>7.07037643207856</v>
      </c>
      <c r="G63" s="26">
        <v>0.85106382978723405</v>
      </c>
      <c r="H63" s="26">
        <v>0.18003273322422259</v>
      </c>
      <c r="I63" s="26">
        <v>1.6039279869067102</v>
      </c>
      <c r="J63" s="26">
        <v>0.24549918166939444</v>
      </c>
      <c r="K63" s="26" t="s">
        <v>189</v>
      </c>
      <c r="L63" s="26">
        <v>23.076923076923077</v>
      </c>
      <c r="M63" s="26">
        <v>1.8166939443535188</v>
      </c>
    </row>
    <row r="64" spans="1:13" x14ac:dyDescent="0.2">
      <c r="A64" s="3" t="s">
        <v>52</v>
      </c>
      <c r="B64" s="26">
        <v>44.826971102390296</v>
      </c>
      <c r="C64" s="26">
        <v>25.657034130098705</v>
      </c>
      <c r="D64" s="26">
        <v>8.1044119395885357</v>
      </c>
      <c r="E64" s="26">
        <v>5.416815316922345</v>
      </c>
      <c r="F64" s="26">
        <v>13.372577000832441</v>
      </c>
      <c r="G64" s="26">
        <v>2.4438102033535496</v>
      </c>
      <c r="H64" s="26">
        <v>0.13675823522416458</v>
      </c>
      <c r="I64" s="26">
        <v>0.90379355452491383</v>
      </c>
      <c r="J64" s="26">
        <v>1.5459626590557736</v>
      </c>
      <c r="K64" s="26">
        <v>1.1000118920204542</v>
      </c>
      <c r="L64" s="26">
        <v>30.033297657271969</v>
      </c>
      <c r="M64" s="26">
        <v>5.0005946010227138</v>
      </c>
    </row>
    <row r="65" spans="1:13" x14ac:dyDescent="0.2">
      <c r="A65" s="3" t="s">
        <v>53</v>
      </c>
      <c r="B65" s="26">
        <v>42.046750285062714</v>
      </c>
      <c r="C65" s="26">
        <v>16.277080957810718</v>
      </c>
      <c r="D65" s="26">
        <v>3.5632839224629418</v>
      </c>
      <c r="E65" s="26">
        <v>2.3090079817559865</v>
      </c>
      <c r="F65" s="26">
        <v>12.25769669327252</v>
      </c>
      <c r="G65" s="26">
        <v>4.9600912200684153</v>
      </c>
      <c r="H65" s="26">
        <v>2.8506271379703536E-2</v>
      </c>
      <c r="I65" s="26">
        <v>0.34207525655644244</v>
      </c>
      <c r="J65" s="26">
        <v>0.65564424173318125</v>
      </c>
      <c r="K65" s="26">
        <v>2.8506271379703536E-2</v>
      </c>
      <c r="L65" s="26">
        <v>24.800456100342075</v>
      </c>
      <c r="M65" s="26">
        <v>1.9384264538198404</v>
      </c>
    </row>
    <row r="66" spans="1:13" x14ac:dyDescent="0.2">
      <c r="A66" s="3" t="s">
        <v>54</v>
      </c>
      <c r="B66" s="26">
        <v>39.257991565307741</v>
      </c>
      <c r="C66" s="26">
        <v>8.1290874640914375</v>
      </c>
      <c r="D66" s="26">
        <v>3.7222663651366052</v>
      </c>
      <c r="E66" s="26">
        <v>2.5426318684676974</v>
      </c>
      <c r="F66" s="26">
        <v>11.912474787604669</v>
      </c>
      <c r="G66" s="26">
        <v>2.6037528268443251</v>
      </c>
      <c r="H66" s="26">
        <v>0.20169916264287024</v>
      </c>
      <c r="I66" s="26">
        <v>1.1674103049935822</v>
      </c>
      <c r="J66" s="26">
        <v>0.1405782042662429</v>
      </c>
      <c r="K66" s="26">
        <v>0.10390562924026649</v>
      </c>
      <c r="L66" s="26">
        <v>24.937351017663957</v>
      </c>
      <c r="M66" s="26">
        <v>2.3837173766884665</v>
      </c>
    </row>
    <row r="67" spans="1:13" x14ac:dyDescent="0.2">
      <c r="A67" s="3" t="s">
        <v>55</v>
      </c>
      <c r="B67" s="26">
        <v>40.375813057094675</v>
      </c>
      <c r="C67" s="26">
        <v>18.814743435316792</v>
      </c>
      <c r="D67" s="26">
        <v>7.4198988195615518</v>
      </c>
      <c r="E67" s="26">
        <v>6.8176343049867505</v>
      </c>
      <c r="F67" s="26">
        <v>8.3594314622982413</v>
      </c>
      <c r="G67" s="26">
        <v>3.0113225728740063</v>
      </c>
      <c r="H67" s="26">
        <v>0.40953986991086483</v>
      </c>
      <c r="I67" s="26">
        <v>0.14454348349795229</v>
      </c>
      <c r="J67" s="26">
        <v>0.16863406408094436</v>
      </c>
      <c r="K67" s="26">
        <v>0.14454348349795229</v>
      </c>
      <c r="L67" s="26">
        <v>29.245964827752349</v>
      </c>
      <c r="M67" s="26">
        <v>2.6258732835461336</v>
      </c>
    </row>
    <row r="68" spans="1:13" x14ac:dyDescent="0.2">
      <c r="A68" s="3" t="s">
        <v>56</v>
      </c>
      <c r="B68" s="26">
        <v>18.845872899926952</v>
      </c>
      <c r="C68" s="26">
        <v>4.4558071585098613</v>
      </c>
      <c r="D68" s="26">
        <v>4.4558071585098613</v>
      </c>
      <c r="E68" s="26">
        <v>3.7983929875821767</v>
      </c>
      <c r="F68" s="26">
        <v>5.5514974433893354</v>
      </c>
      <c r="G68" s="26">
        <v>1.8261504747991235</v>
      </c>
      <c r="H68" s="26" t="s">
        <v>189</v>
      </c>
      <c r="I68" s="26" t="s">
        <v>189</v>
      </c>
      <c r="J68" s="26" t="s">
        <v>189</v>
      </c>
      <c r="K68" s="26" t="s">
        <v>189</v>
      </c>
      <c r="L68" s="26">
        <v>4.5288531775018264</v>
      </c>
      <c r="M68" s="26">
        <v>7.3046018991964931E-2</v>
      </c>
    </row>
    <row r="69" spans="1:13" x14ac:dyDescent="0.2">
      <c r="A69" s="3" t="s">
        <v>57</v>
      </c>
      <c r="B69" s="26">
        <v>39.95011657539446</v>
      </c>
      <c r="C69" s="26">
        <v>15.252399284281299</v>
      </c>
      <c r="D69" s="26">
        <v>5.1726942471398365</v>
      </c>
      <c r="E69" s="26">
        <v>2.1688445480670171</v>
      </c>
      <c r="F69" s="26">
        <v>4.0394729707748196</v>
      </c>
      <c r="G69" s="26">
        <v>2.385729002873719</v>
      </c>
      <c r="H69" s="26">
        <v>0.93260315566881746</v>
      </c>
      <c r="I69" s="26">
        <v>0.66691969853060784</v>
      </c>
      <c r="J69" s="26">
        <v>1.1874423900666919</v>
      </c>
      <c r="K69" s="26">
        <v>4.3376890961340349E-2</v>
      </c>
      <c r="L69" s="26">
        <v>25.825516456108009</v>
      </c>
      <c r="M69" s="26">
        <v>5.7853928319687684</v>
      </c>
    </row>
    <row r="70" spans="1:13" x14ac:dyDescent="0.2">
      <c r="A70" s="3" t="s">
        <v>58</v>
      </c>
      <c r="B70" s="26">
        <v>30.587507730364873</v>
      </c>
      <c r="C70" s="26">
        <v>15.361781076066791</v>
      </c>
      <c r="D70" s="26">
        <v>10.129870129870129</v>
      </c>
      <c r="E70" s="26">
        <v>2.4984539270253556</v>
      </c>
      <c r="F70" s="26">
        <v>10.092764378478664</v>
      </c>
      <c r="G70" s="26">
        <v>4.2918985776128631</v>
      </c>
      <c r="H70" s="26">
        <v>1.8923933209647494</v>
      </c>
      <c r="I70" s="26">
        <v>1.1008039579468152</v>
      </c>
      <c r="J70" s="26">
        <v>0.68027210884353739</v>
      </c>
      <c r="K70" s="26" t="s">
        <v>189</v>
      </c>
      <c r="L70" s="26">
        <v>16.06679035250464</v>
      </c>
      <c r="M70" s="26">
        <v>2.7705627705627704</v>
      </c>
    </row>
    <row r="71" spans="1:13" x14ac:dyDescent="0.2">
      <c r="A71" s="3" t="s">
        <v>59</v>
      </c>
      <c r="B71" s="26">
        <v>38.850102669404521</v>
      </c>
      <c r="C71" s="26">
        <v>17.741273100616016</v>
      </c>
      <c r="D71" s="26">
        <v>9.2813141683778237</v>
      </c>
      <c r="E71" s="26">
        <v>1.5605749486652978</v>
      </c>
      <c r="F71" s="26">
        <v>3.3675564681724848</v>
      </c>
      <c r="G71" s="26">
        <v>0.73921971252566732</v>
      </c>
      <c r="H71" s="26">
        <v>0.12320328542094455</v>
      </c>
      <c r="I71" s="26">
        <v>0.12320328542094455</v>
      </c>
      <c r="J71" s="26" t="s">
        <v>189</v>
      </c>
      <c r="K71" s="26" t="s">
        <v>189</v>
      </c>
      <c r="L71" s="26">
        <v>13.552361396303901</v>
      </c>
      <c r="M71" s="26">
        <v>4.2299794661190964</v>
      </c>
    </row>
    <row r="72" spans="1:13" s="7" customFormat="1" ht="18.75" x14ac:dyDescent="0.2">
      <c r="A72" s="23" t="s">
        <v>107</v>
      </c>
      <c r="B72" s="18">
        <v>41.808779918430503</v>
      </c>
      <c r="C72" s="18">
        <v>13.857993064556627</v>
      </c>
      <c r="D72" s="18">
        <v>10.840871612863822</v>
      </c>
      <c r="E72" s="18">
        <v>2.8895418671407924</v>
      </c>
      <c r="F72" s="18">
        <v>6.8512951363676464</v>
      </c>
      <c r="G72" s="18">
        <v>2.940437977999308</v>
      </c>
      <c r="H72" s="18">
        <v>0.3902035165819529</v>
      </c>
      <c r="I72" s="18">
        <v>1.055924646611337</v>
      </c>
      <c r="J72" s="18">
        <v>0.73222538155117778</v>
      </c>
      <c r="K72" s="18">
        <v>2.9859051703662483E-2</v>
      </c>
      <c r="L72" s="18">
        <v>26.641738882592851</v>
      </c>
      <c r="M72" s="18">
        <v>4.5107526516873762</v>
      </c>
    </row>
    <row r="73" spans="1:13" x14ac:dyDescent="0.2">
      <c r="A73" s="3" t="s">
        <v>60</v>
      </c>
      <c r="B73" s="26">
        <v>53.624349219062879</v>
      </c>
      <c r="C73" s="26">
        <v>31.477773327993592</v>
      </c>
      <c r="D73" s="26">
        <v>20.184221065278333</v>
      </c>
      <c r="E73" s="26">
        <v>4.6455746896275532</v>
      </c>
      <c r="F73" s="26">
        <v>7.649179014817781</v>
      </c>
      <c r="G73" s="26">
        <v>0.96115338406087303</v>
      </c>
      <c r="H73" s="26">
        <v>8.009611533840609E-2</v>
      </c>
      <c r="I73" s="26">
        <v>2.1225470564677611</v>
      </c>
      <c r="J73" s="26">
        <v>2.5630756908289949</v>
      </c>
      <c r="K73" s="26" t="s">
        <v>189</v>
      </c>
      <c r="L73" s="26">
        <v>19.102923508209852</v>
      </c>
      <c r="M73" s="26">
        <v>4.8057669203043654</v>
      </c>
    </row>
    <row r="74" spans="1:13" x14ac:dyDescent="0.2">
      <c r="A74" s="3" t="s">
        <v>61</v>
      </c>
      <c r="B74" s="26">
        <v>34.130504920148411</v>
      </c>
      <c r="C74" s="26">
        <v>12.33263429585417</v>
      </c>
      <c r="D74" s="26">
        <v>8.3924826584933054</v>
      </c>
      <c r="E74" s="26">
        <v>5.0008065817067271</v>
      </c>
      <c r="F74" s="26">
        <v>5.5815454105500883</v>
      </c>
      <c r="G74" s="26">
        <v>2.0688820777544765</v>
      </c>
      <c r="H74" s="26">
        <v>1.0646878528794967</v>
      </c>
      <c r="I74" s="26">
        <v>1.9720922729472496</v>
      </c>
      <c r="J74" s="26">
        <v>1.4074850782384256</v>
      </c>
      <c r="K74" s="26">
        <v>4.0329085336344569E-3</v>
      </c>
      <c r="L74" s="26">
        <v>23.160993708662687</v>
      </c>
      <c r="M74" s="26">
        <v>4.4886271979351511</v>
      </c>
    </row>
    <row r="75" spans="1:13" x14ac:dyDescent="0.2">
      <c r="A75" s="3" t="s">
        <v>62</v>
      </c>
      <c r="B75" s="26">
        <v>41.262940721364622</v>
      </c>
      <c r="C75" s="26">
        <v>13.683085878495376</v>
      </c>
      <c r="D75" s="26">
        <v>10.03665770180157</v>
      </c>
      <c r="E75" s="26">
        <v>1.7426224072504881</v>
      </c>
      <c r="F75" s="26">
        <v>7.0533839295582652</v>
      </c>
      <c r="G75" s="26">
        <v>3.0634049294477399</v>
      </c>
      <c r="H75" s="26">
        <v>0.26249861842832406</v>
      </c>
      <c r="I75" s="26">
        <v>0.6861805990494787</v>
      </c>
      <c r="J75" s="26">
        <v>0.40986626386176916</v>
      </c>
      <c r="K75" s="26">
        <v>3.3157720222525146E-2</v>
      </c>
      <c r="L75" s="26">
        <v>27.614854658659691</v>
      </c>
      <c r="M75" s="26">
        <v>4.0111630991415836</v>
      </c>
    </row>
    <row r="76" spans="1:13" x14ac:dyDescent="0.2">
      <c r="A76" s="30" t="s">
        <v>63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</row>
    <row r="77" spans="1:13" ht="19.5" x14ac:dyDescent="0.2">
      <c r="A77" s="6" t="s">
        <v>64</v>
      </c>
      <c r="B77" s="26">
        <v>28.876576997530204</v>
      </c>
      <c r="C77" s="26">
        <v>11.567986115746612</v>
      </c>
      <c r="D77" s="26">
        <v>5.6204525732594623</v>
      </c>
      <c r="E77" s="26">
        <v>1.4618516787931379</v>
      </c>
      <c r="F77" s="26">
        <v>7.152393031172819</v>
      </c>
      <c r="G77" s="26">
        <v>2.8569521393765438</v>
      </c>
      <c r="H77" s="26">
        <v>2.0025365462919699E-2</v>
      </c>
      <c r="I77" s="26">
        <v>0.31706828649622854</v>
      </c>
      <c r="J77" s="26">
        <v>0.40718243107936719</v>
      </c>
      <c r="K77" s="26" t="s">
        <v>189</v>
      </c>
      <c r="L77" s="26">
        <v>15.716574327481476</v>
      </c>
      <c r="M77" s="26">
        <v>2.3362926373406316</v>
      </c>
    </row>
    <row r="78" spans="1:13" ht="19.5" x14ac:dyDescent="0.2">
      <c r="A78" s="6" t="s">
        <v>92</v>
      </c>
      <c r="B78" s="26">
        <v>45.568171496048684</v>
      </c>
      <c r="C78" s="26">
        <v>12.7604687074212</v>
      </c>
      <c r="D78" s="26">
        <v>10.104459987283132</v>
      </c>
      <c r="E78" s="26">
        <v>2.0201653192842222</v>
      </c>
      <c r="F78" s="26">
        <v>6.1513307294032158</v>
      </c>
      <c r="G78" s="26">
        <v>3.1047324915977836</v>
      </c>
      <c r="H78" s="26">
        <v>0.34153874103006632</v>
      </c>
      <c r="I78" s="26">
        <v>0.8701971114542647</v>
      </c>
      <c r="J78" s="26">
        <v>0.44872377145971476</v>
      </c>
      <c r="K78" s="26">
        <v>6.5401035516395672E-2</v>
      </c>
      <c r="L78" s="26">
        <v>32.326278499409575</v>
      </c>
      <c r="M78" s="26">
        <v>3.7224089381415206</v>
      </c>
    </row>
    <row r="79" spans="1:13" ht="19.5" x14ac:dyDescent="0.2">
      <c r="A79" s="6" t="s">
        <v>88</v>
      </c>
      <c r="B79" s="26">
        <v>46.955230214300869</v>
      </c>
      <c r="C79" s="26">
        <v>18.527477190748993</v>
      </c>
      <c r="D79" s="26">
        <v>15.493316359007002</v>
      </c>
      <c r="E79" s="26">
        <v>1.4513049013367283</v>
      </c>
      <c r="F79" s="26">
        <v>9.0345851899002767</v>
      </c>
      <c r="G79" s="26">
        <v>3.2293655845533631</v>
      </c>
      <c r="H79" s="26">
        <v>0.38616592403988964</v>
      </c>
      <c r="I79" s="26">
        <v>0.72565245066836415</v>
      </c>
      <c r="J79" s="26">
        <v>0.32251220029705069</v>
      </c>
      <c r="K79" s="26" t="s">
        <v>189</v>
      </c>
      <c r="L79" s="26">
        <v>31.737746658179503</v>
      </c>
      <c r="M79" s="26">
        <v>6.8151920220666247</v>
      </c>
    </row>
    <row r="80" spans="1:13" x14ac:dyDescent="0.2">
      <c r="A80" s="3" t="s">
        <v>66</v>
      </c>
      <c r="B80" s="26">
        <v>60.962241169305727</v>
      </c>
      <c r="C80" s="26">
        <v>14.973029406646946</v>
      </c>
      <c r="D80" s="26">
        <v>21.689577170697756</v>
      </c>
      <c r="E80" s="26">
        <v>8.7871933182530011</v>
      </c>
      <c r="F80" s="26">
        <v>7.508265181834</v>
      </c>
      <c r="G80" s="26">
        <v>4.0890899599791197</v>
      </c>
      <c r="H80" s="26">
        <v>0.20880459370106141</v>
      </c>
      <c r="I80" s="26">
        <v>2.3403514877327303</v>
      </c>
      <c r="J80" s="26">
        <v>1.9227423003306072</v>
      </c>
      <c r="K80" s="26">
        <v>6.090133982947625E-2</v>
      </c>
      <c r="L80" s="26">
        <v>26.5964851226727</v>
      </c>
      <c r="M80" s="26">
        <v>9.2135026970593348</v>
      </c>
    </row>
    <row r="81" spans="1:13" s="7" customFormat="1" ht="18.75" x14ac:dyDescent="0.2">
      <c r="A81" s="23" t="s">
        <v>108</v>
      </c>
      <c r="B81" s="18">
        <v>50.488861623404013</v>
      </c>
      <c r="C81" s="18">
        <v>25.243472259499253</v>
      </c>
      <c r="D81" s="18">
        <v>11.881254553122963</v>
      </c>
      <c r="E81" s="18">
        <v>8.984509796403513</v>
      </c>
      <c r="F81" s="18">
        <v>7.5783137149649171</v>
      </c>
      <c r="G81" s="18">
        <v>3.2149840880334342</v>
      </c>
      <c r="H81" s="18">
        <v>0.42368007361680915</v>
      </c>
      <c r="I81" s="18">
        <v>2.4922357271577011</v>
      </c>
      <c r="J81" s="18">
        <v>1.510678271538668</v>
      </c>
      <c r="K81" s="18">
        <v>0.10352363789731989</v>
      </c>
      <c r="L81" s="18">
        <v>36.543844177753918</v>
      </c>
      <c r="M81" s="18">
        <v>4.1409455158927955</v>
      </c>
    </row>
    <row r="82" spans="1:13" x14ac:dyDescent="0.2">
      <c r="A82" s="3" t="s">
        <v>67</v>
      </c>
      <c r="B82" s="26">
        <v>11.746031746031745</v>
      </c>
      <c r="C82" s="26">
        <v>2.8571428571428572</v>
      </c>
      <c r="D82" s="26">
        <v>1.9047619047619047</v>
      </c>
      <c r="E82" s="26" t="s">
        <v>189</v>
      </c>
      <c r="F82" s="26">
        <v>0.95238095238095233</v>
      </c>
      <c r="G82" s="26">
        <v>0.31746031746031744</v>
      </c>
      <c r="H82" s="26" t="s">
        <v>189</v>
      </c>
      <c r="I82" s="26" t="s">
        <v>189</v>
      </c>
      <c r="J82" s="26" t="s">
        <v>189</v>
      </c>
      <c r="K82" s="26" t="s">
        <v>189</v>
      </c>
      <c r="L82" s="26">
        <v>5.7142857142857144</v>
      </c>
      <c r="M82" s="26" t="s">
        <v>189</v>
      </c>
    </row>
    <row r="83" spans="1:13" x14ac:dyDescent="0.2">
      <c r="A83" s="3" t="s">
        <v>69</v>
      </c>
      <c r="B83" s="26">
        <v>10.306291390728477</v>
      </c>
      <c r="C83" s="26">
        <v>1.5728476821192052</v>
      </c>
      <c r="D83" s="26">
        <v>3.3940397350993377</v>
      </c>
      <c r="E83" s="26">
        <v>1.1175496688741722</v>
      </c>
      <c r="F83" s="26">
        <v>2.2764900662251657</v>
      </c>
      <c r="G83" s="26">
        <v>1.1175496688741722</v>
      </c>
      <c r="H83" s="26" t="s">
        <v>189</v>
      </c>
      <c r="I83" s="26" t="s">
        <v>189</v>
      </c>
      <c r="J83" s="26" t="s">
        <v>189</v>
      </c>
      <c r="K83" s="26" t="s">
        <v>189</v>
      </c>
      <c r="L83" s="26">
        <v>4.7185430463576159</v>
      </c>
      <c r="M83" s="26">
        <v>3.8079470198675498</v>
      </c>
    </row>
    <row r="84" spans="1:13" x14ac:dyDescent="0.2">
      <c r="A84" s="3" t="s">
        <v>70</v>
      </c>
      <c r="B84" s="26">
        <v>44.925528229996537</v>
      </c>
      <c r="C84" s="26">
        <v>27.052303429165224</v>
      </c>
      <c r="D84" s="26">
        <v>9.7332871492899198</v>
      </c>
      <c r="E84" s="26">
        <v>15.898856944925528</v>
      </c>
      <c r="F84" s="26">
        <v>10.045029442327676</v>
      </c>
      <c r="G84" s="26">
        <v>0.90058884655351579</v>
      </c>
      <c r="H84" s="26" t="s">
        <v>189</v>
      </c>
      <c r="I84" s="26">
        <v>0.38101835815725665</v>
      </c>
      <c r="J84" s="26">
        <v>3.42916522341531</v>
      </c>
      <c r="K84" s="26">
        <v>6.9276065119501212E-2</v>
      </c>
      <c r="L84" s="26">
        <v>30.723934880498788</v>
      </c>
      <c r="M84" s="26">
        <v>4.1912019397298232</v>
      </c>
    </row>
    <row r="85" spans="1:13" x14ac:dyDescent="0.2">
      <c r="A85" s="3" t="s">
        <v>71</v>
      </c>
      <c r="B85" s="26">
        <v>54.970603955104224</v>
      </c>
      <c r="C85" s="26">
        <v>27.872795296632816</v>
      </c>
      <c r="D85" s="26">
        <v>16.461785141635488</v>
      </c>
      <c r="E85" s="26">
        <v>9.5403527525387499</v>
      </c>
      <c r="F85" s="26">
        <v>14.190272581507216</v>
      </c>
      <c r="G85" s="26">
        <v>3.180117584179583</v>
      </c>
      <c r="H85" s="26">
        <v>0.29396044895777657</v>
      </c>
      <c r="I85" s="26">
        <v>0.9086050240513095</v>
      </c>
      <c r="J85" s="26">
        <v>0.42757883484767506</v>
      </c>
      <c r="K85" s="26" t="s">
        <v>189</v>
      </c>
      <c r="L85" s="26">
        <v>30.090860502405132</v>
      </c>
      <c r="M85" s="26">
        <v>10.208444681988242</v>
      </c>
    </row>
    <row r="86" spans="1:13" x14ac:dyDescent="0.2">
      <c r="A86" s="3" t="s">
        <v>73</v>
      </c>
      <c r="B86" s="26">
        <v>53.996478117081132</v>
      </c>
      <c r="C86" s="26">
        <v>31.752780999012156</v>
      </c>
      <c r="D86" s="26">
        <v>14.379590258987244</v>
      </c>
      <c r="E86" s="26">
        <v>10.458274277369755</v>
      </c>
      <c r="F86" s="26">
        <v>7.4346089421466308</v>
      </c>
      <c r="G86" s="26">
        <v>4.9048662113988746</v>
      </c>
      <c r="H86" s="26">
        <v>0.27917364600781686</v>
      </c>
      <c r="I86" s="26">
        <v>2.0658849804578447</v>
      </c>
      <c r="J86" s="26">
        <v>0.72155650045097286</v>
      </c>
      <c r="K86" s="26">
        <v>5.1539750032212346E-2</v>
      </c>
      <c r="L86" s="26">
        <v>37.843061461151912</v>
      </c>
      <c r="M86" s="26">
        <v>3.5519477730533007</v>
      </c>
    </row>
    <row r="87" spans="1:13" x14ac:dyDescent="0.2">
      <c r="A87" s="3" t="s">
        <v>74</v>
      </c>
      <c r="B87" s="26">
        <v>57.677961815653056</v>
      </c>
      <c r="C87" s="26">
        <v>25.268681249209759</v>
      </c>
      <c r="D87" s="26">
        <v>11.243520040460234</v>
      </c>
      <c r="E87" s="26">
        <v>6.9414590972310029</v>
      </c>
      <c r="F87" s="26">
        <v>7.6589960804147177</v>
      </c>
      <c r="G87" s="26">
        <v>2.7500316095587305</v>
      </c>
      <c r="H87" s="26">
        <v>6.6380073334176254E-2</v>
      </c>
      <c r="I87" s="26">
        <v>1.5014540397016058</v>
      </c>
      <c r="J87" s="26">
        <v>1.3276014666835252</v>
      </c>
      <c r="K87" s="26" t="s">
        <v>189</v>
      </c>
      <c r="L87" s="26">
        <v>42.954229358958152</v>
      </c>
      <c r="M87" s="26">
        <v>1.8333544063724871</v>
      </c>
    </row>
    <row r="88" spans="1:13" x14ac:dyDescent="0.2">
      <c r="A88" s="37" t="s">
        <v>184</v>
      </c>
      <c r="B88" s="26">
        <v>63.307884193816612</v>
      </c>
      <c r="C88" s="26">
        <v>31.839141280520071</v>
      </c>
      <c r="D88" s="26">
        <v>17.960541235165167</v>
      </c>
      <c r="E88" s="26">
        <v>16.305087308186561</v>
      </c>
      <c r="F88" s="26">
        <v>7.551591201148991</v>
      </c>
      <c r="G88" s="26">
        <v>3.3940585078237206</v>
      </c>
      <c r="H88" s="26">
        <v>0.13606470632700884</v>
      </c>
      <c r="I88" s="26">
        <v>4.1953284450827724</v>
      </c>
      <c r="J88" s="26">
        <v>4.5203719101972935</v>
      </c>
      <c r="K88" s="26" t="s">
        <v>189</v>
      </c>
      <c r="L88" s="26">
        <v>51.054501474034318</v>
      </c>
      <c r="M88" s="26">
        <v>8.9273565651220803</v>
      </c>
    </row>
    <row r="89" spans="1:13" x14ac:dyDescent="0.2">
      <c r="A89" s="3" t="s">
        <v>75</v>
      </c>
      <c r="B89" s="26">
        <v>44.193266711943338</v>
      </c>
      <c r="C89" s="26">
        <v>16.086155040263897</v>
      </c>
      <c r="D89" s="26">
        <v>4.6085184825846515</v>
      </c>
      <c r="E89" s="26">
        <v>3.4539633258950229</v>
      </c>
      <c r="F89" s="26">
        <v>9.8670806248180849</v>
      </c>
      <c r="G89" s="26">
        <v>3.3860483166779858</v>
      </c>
      <c r="H89" s="26">
        <v>0.38808576695449692</v>
      </c>
      <c r="I89" s="26">
        <v>0.11642573008634909</v>
      </c>
      <c r="J89" s="26">
        <v>0.1649364509556612</v>
      </c>
      <c r="K89" s="26">
        <v>0.21344717182497333</v>
      </c>
      <c r="L89" s="26">
        <v>26.797322208208016</v>
      </c>
      <c r="M89" s="26">
        <v>5.2197535655379843</v>
      </c>
    </row>
    <row r="90" spans="1:13" x14ac:dyDescent="0.2">
      <c r="A90" s="3" t="s">
        <v>76</v>
      </c>
      <c r="B90" s="26">
        <v>29.280793144009412</v>
      </c>
      <c r="C90" s="26">
        <v>19.232061838346496</v>
      </c>
      <c r="D90" s="26">
        <v>11.863552344143841</v>
      </c>
      <c r="E90" s="26">
        <v>10.536044362292051</v>
      </c>
      <c r="F90" s="26">
        <v>3.0919173248193581</v>
      </c>
      <c r="G90" s="26">
        <v>2.1004873130566293</v>
      </c>
      <c r="H90" s="26">
        <v>0.15123508654007731</v>
      </c>
      <c r="I90" s="26">
        <v>8.1666946731641747</v>
      </c>
      <c r="J90" s="26">
        <v>2.1508990085699882</v>
      </c>
      <c r="K90" s="26">
        <v>0.5629305998991766</v>
      </c>
      <c r="L90" s="26">
        <v>22.836498067551673</v>
      </c>
      <c r="M90" s="26">
        <v>0.36968576709796674</v>
      </c>
    </row>
    <row r="91" spans="1:13" x14ac:dyDescent="0.2">
      <c r="A91" s="3" t="s">
        <v>77</v>
      </c>
      <c r="B91" s="26">
        <v>39.027566746255701</v>
      </c>
      <c r="C91" s="26">
        <v>19.926199261992618</v>
      </c>
      <c r="D91" s="26">
        <v>5.2528760581723466</v>
      </c>
      <c r="E91" s="26">
        <v>2.8652051226394617</v>
      </c>
      <c r="F91" s="26">
        <v>10.614282613414369</v>
      </c>
      <c r="G91" s="26">
        <v>2.6264380290861733</v>
      </c>
      <c r="H91" s="26">
        <v>5.8389407423486004</v>
      </c>
      <c r="I91" s="26">
        <v>1.302365964836119</v>
      </c>
      <c r="J91" s="26">
        <v>4.3412198827870632E-2</v>
      </c>
      <c r="K91" s="26">
        <v>0.10853049706967657</v>
      </c>
      <c r="L91" s="26">
        <v>29.194703711742999</v>
      </c>
      <c r="M91" s="26">
        <v>12.046885174734101</v>
      </c>
    </row>
    <row r="92" spans="1:13" s="7" customFormat="1" ht="18.75" x14ac:dyDescent="0.2">
      <c r="A92" s="23" t="s">
        <v>109</v>
      </c>
      <c r="B92" s="18">
        <v>42.90839252065517</v>
      </c>
      <c r="C92" s="18">
        <v>20.341716190752283</v>
      </c>
      <c r="D92" s="18">
        <v>12.310660965357298</v>
      </c>
      <c r="E92" s="18">
        <v>6.2056095086244385</v>
      </c>
      <c r="F92" s="18">
        <v>6.7120234816640094</v>
      </c>
      <c r="G92" s="18">
        <v>1.7348528772285838</v>
      </c>
      <c r="H92" s="18">
        <v>0.25275402232207567</v>
      </c>
      <c r="I92" s="18">
        <v>0.71749528917234384</v>
      </c>
      <c r="J92" s="18">
        <v>1.5437019857950427</v>
      </c>
      <c r="K92" s="18">
        <v>2.4460066676329904E-2</v>
      </c>
      <c r="L92" s="18">
        <v>26.006486447311204</v>
      </c>
      <c r="M92" s="18">
        <v>1.9142266995216699</v>
      </c>
    </row>
    <row r="93" spans="1:13" x14ac:dyDescent="0.2">
      <c r="A93" s="3" t="s">
        <v>68</v>
      </c>
      <c r="B93" s="26">
        <v>32.528301886792455</v>
      </c>
      <c r="C93" s="26">
        <v>6.716981132075472</v>
      </c>
      <c r="D93" s="26">
        <v>5.0943396226415096</v>
      </c>
      <c r="E93" s="26">
        <v>0.90566037735849059</v>
      </c>
      <c r="F93" s="26">
        <v>3.2452830188679247</v>
      </c>
      <c r="G93" s="26">
        <v>0.15094339622641509</v>
      </c>
      <c r="H93" s="26" t="s">
        <v>189</v>
      </c>
      <c r="I93" s="26">
        <v>7.5471698113207544E-2</v>
      </c>
      <c r="J93" s="26" t="s">
        <v>189</v>
      </c>
      <c r="K93" s="26" t="s">
        <v>189</v>
      </c>
      <c r="L93" s="26">
        <v>22.490566037735849</v>
      </c>
      <c r="M93" s="26">
        <v>0.41509433962264153</v>
      </c>
    </row>
    <row r="94" spans="1:13" x14ac:dyDescent="0.2">
      <c r="A94" s="3" t="s">
        <v>78</v>
      </c>
      <c r="B94" s="26">
        <v>59.690065152574817</v>
      </c>
      <c r="C94" s="26">
        <v>26.267162366105936</v>
      </c>
      <c r="D94" s="26">
        <v>23.038981116796112</v>
      </c>
      <c r="E94" s="26">
        <v>11.834210623182537</v>
      </c>
      <c r="F94" s="26">
        <v>5.0392019729819264</v>
      </c>
      <c r="G94" s="26">
        <v>2.0392387823462288</v>
      </c>
      <c r="H94" s="26" t="s">
        <v>189</v>
      </c>
      <c r="I94" s="26">
        <v>0.67361136673169653</v>
      </c>
      <c r="J94" s="26">
        <v>5.3741671881326614</v>
      </c>
      <c r="K94" s="26" t="s">
        <v>189</v>
      </c>
      <c r="L94" s="26">
        <v>39.606875989251662</v>
      </c>
      <c r="M94" s="26">
        <v>2.1975190488460266</v>
      </c>
    </row>
    <row r="95" spans="1:13" x14ac:dyDescent="0.2">
      <c r="A95" s="3" t="s">
        <v>72</v>
      </c>
      <c r="B95" s="26">
        <v>45.593310326519777</v>
      </c>
      <c r="C95" s="26">
        <v>21.834350942394479</v>
      </c>
      <c r="D95" s="26">
        <v>8.9859304486328639</v>
      </c>
      <c r="E95" s="26">
        <v>7.2073267852402445</v>
      </c>
      <c r="F95" s="26">
        <v>8.6939208919564646</v>
      </c>
      <c r="G95" s="26">
        <v>1.2078577117069287</v>
      </c>
      <c r="H95" s="26">
        <v>0.75657021502521904</v>
      </c>
      <c r="I95" s="26">
        <v>0.82293602336076455</v>
      </c>
      <c r="J95" s="26">
        <v>0.62383859835412792</v>
      </c>
      <c r="K95" s="26" t="s">
        <v>189</v>
      </c>
      <c r="L95" s="26">
        <v>27.448898327581631</v>
      </c>
      <c r="M95" s="26">
        <v>0.86275550836209181</v>
      </c>
    </row>
    <row r="96" spans="1:13" x14ac:dyDescent="0.2">
      <c r="A96" s="3" t="s">
        <v>79</v>
      </c>
      <c r="B96" s="26">
        <v>39.213893967093234</v>
      </c>
      <c r="C96" s="26">
        <v>12.522851919561242</v>
      </c>
      <c r="D96" s="26">
        <v>4.296160877513711</v>
      </c>
      <c r="E96" s="26">
        <v>2.2851919561243146</v>
      </c>
      <c r="F96" s="26">
        <v>4.296160877513711</v>
      </c>
      <c r="G96" s="26">
        <v>0.91407678244972579</v>
      </c>
      <c r="H96" s="26">
        <v>6.6727605118829985</v>
      </c>
      <c r="I96" s="26" t="s">
        <v>189</v>
      </c>
      <c r="J96" s="26">
        <v>6.6727605118829985</v>
      </c>
      <c r="K96" s="26" t="s">
        <v>189</v>
      </c>
      <c r="L96" s="26">
        <v>21.755027422303474</v>
      </c>
      <c r="M96" s="26">
        <v>14.625228519195613</v>
      </c>
    </row>
    <row r="97" spans="1:13" x14ac:dyDescent="0.2">
      <c r="A97" s="3" t="s">
        <v>80</v>
      </c>
      <c r="B97" s="26">
        <v>37.839664728944165</v>
      </c>
      <c r="C97" s="26">
        <v>21.779099634987158</v>
      </c>
      <c r="D97" s="26">
        <v>7.7058266864945244</v>
      </c>
      <c r="E97" s="26">
        <v>4.5829390293362176</v>
      </c>
      <c r="F97" s="26">
        <v>8.5304853318913079</v>
      </c>
      <c r="G97" s="26">
        <v>2.0954440989590375</v>
      </c>
      <c r="H97" s="26">
        <v>0.1216709476814925</v>
      </c>
      <c r="I97" s="26">
        <v>2.4063809652561847</v>
      </c>
      <c r="J97" s="26">
        <v>5.4075976747330001E-2</v>
      </c>
      <c r="K97" s="26">
        <v>5.4075976747330001E-2</v>
      </c>
      <c r="L97" s="26">
        <v>20.197377315127756</v>
      </c>
      <c r="M97" s="26">
        <v>3.001216709476815</v>
      </c>
    </row>
    <row r="98" spans="1:13" x14ac:dyDescent="0.2">
      <c r="A98" s="3" t="s">
        <v>81</v>
      </c>
      <c r="B98" s="26">
        <v>53.685941353795563</v>
      </c>
      <c r="C98" s="26">
        <v>22.261806887731797</v>
      </c>
      <c r="D98" s="26">
        <v>16.114003836667582</v>
      </c>
      <c r="E98" s="26">
        <v>5.8189458299077375</v>
      </c>
      <c r="F98" s="26">
        <v>6.5040650406504064</v>
      </c>
      <c r="G98" s="26">
        <v>1.4524527267744587</v>
      </c>
      <c r="H98" s="26">
        <v>5.4809536859413539E-2</v>
      </c>
      <c r="I98" s="26">
        <v>0.25577783867726317</v>
      </c>
      <c r="J98" s="26">
        <v>0.11875399652872934</v>
      </c>
      <c r="K98" s="26">
        <v>4.5674614049511279E-2</v>
      </c>
      <c r="L98" s="26">
        <v>23.842148533844888</v>
      </c>
      <c r="M98" s="26">
        <v>0.78560336165159406</v>
      </c>
    </row>
    <row r="99" spans="1:13" x14ac:dyDescent="0.2">
      <c r="A99" s="3" t="s">
        <v>82</v>
      </c>
      <c r="B99" s="26">
        <v>28.945702073769194</v>
      </c>
      <c r="C99" s="26">
        <v>16.518917207535221</v>
      </c>
      <c r="D99" s="26">
        <v>6.9864387103582928</v>
      </c>
      <c r="E99" s="26">
        <v>2.8336235554851985</v>
      </c>
      <c r="F99" s="26">
        <v>5.1976149015883069</v>
      </c>
      <c r="G99" s="26">
        <v>1.4300036937364782</v>
      </c>
      <c r="H99" s="26">
        <v>0.25328478708247587</v>
      </c>
      <c r="I99" s="26">
        <v>0.80998364202416762</v>
      </c>
      <c r="J99" s="26">
        <v>0.11081209434858319</v>
      </c>
      <c r="K99" s="26">
        <v>1.0553532795103161E-2</v>
      </c>
      <c r="L99" s="26">
        <v>16.381721281198882</v>
      </c>
      <c r="M99" s="26">
        <v>1.2980845337976887</v>
      </c>
    </row>
    <row r="100" spans="1:13" x14ac:dyDescent="0.2">
      <c r="A100" s="3" t="s">
        <v>83</v>
      </c>
      <c r="B100" s="26">
        <v>62.20575414123801</v>
      </c>
      <c r="C100" s="26">
        <v>30.51438535309503</v>
      </c>
      <c r="D100" s="26">
        <v>18.788142981691369</v>
      </c>
      <c r="E100" s="26">
        <v>10.244115082824761</v>
      </c>
      <c r="F100" s="26">
        <v>32.95553618134263</v>
      </c>
      <c r="G100" s="26">
        <v>3.4001743679163035</v>
      </c>
      <c r="H100" s="26" t="s">
        <v>189</v>
      </c>
      <c r="I100" s="26">
        <v>0.56669572798605061</v>
      </c>
      <c r="J100" s="26">
        <v>0.3051438535309503</v>
      </c>
      <c r="K100" s="26">
        <v>0.47951176983435045</v>
      </c>
      <c r="L100" s="26">
        <v>45.292066259808195</v>
      </c>
      <c r="M100" s="26">
        <v>1.6129032258064515</v>
      </c>
    </row>
    <row r="101" spans="1:13" x14ac:dyDescent="0.2">
      <c r="A101" s="3" t="s">
        <v>84</v>
      </c>
      <c r="B101" s="26">
        <v>35.904436860068259</v>
      </c>
      <c r="C101" s="26">
        <v>15.15358361774744</v>
      </c>
      <c r="D101" s="26">
        <v>6.2201365187713309</v>
      </c>
      <c r="E101" s="26">
        <v>4.6928327645051198</v>
      </c>
      <c r="F101" s="26">
        <v>7.9180887372013649</v>
      </c>
      <c r="G101" s="26">
        <v>2.5682593856655291</v>
      </c>
      <c r="H101" s="26">
        <v>0.32423208191126279</v>
      </c>
      <c r="I101" s="26">
        <v>0.11945392491467577</v>
      </c>
      <c r="J101" s="26">
        <v>0.44368600682593856</v>
      </c>
      <c r="K101" s="26">
        <v>2.5597269624573378E-2</v>
      </c>
      <c r="L101" s="26">
        <v>24.436860068259385</v>
      </c>
      <c r="M101" s="26">
        <v>2.3208191126279862</v>
      </c>
    </row>
    <row r="102" spans="1:13" ht="19.5" x14ac:dyDescent="0.2">
      <c r="A102" s="3" t="s">
        <v>187</v>
      </c>
      <c r="B102" s="26">
        <v>73.297002724795647</v>
      </c>
      <c r="C102" s="26">
        <v>39.41871026339691</v>
      </c>
      <c r="D102" s="26">
        <v>21.253405994550409</v>
      </c>
      <c r="E102" s="26">
        <v>17.075386012715715</v>
      </c>
      <c r="F102" s="26">
        <v>20.617620345140782</v>
      </c>
      <c r="G102" s="26">
        <v>1.8165304268846503</v>
      </c>
      <c r="H102" s="26" t="s">
        <v>189</v>
      </c>
      <c r="I102" s="26">
        <v>0.45413260672116257</v>
      </c>
      <c r="J102" s="26">
        <v>0.54495912806539515</v>
      </c>
      <c r="K102" s="26" t="s">
        <v>189</v>
      </c>
      <c r="L102" s="26">
        <v>53.496821071752954</v>
      </c>
      <c r="M102" s="26">
        <v>15.077202543142597</v>
      </c>
    </row>
    <row r="103" spans="1:13" x14ac:dyDescent="0.2">
      <c r="A103" s="32" t="s">
        <v>86</v>
      </c>
      <c r="B103" s="33">
        <v>57.612456747404842</v>
      </c>
      <c r="C103" s="33">
        <v>24.048442906574394</v>
      </c>
      <c r="D103" s="33">
        <v>16.435986159169548</v>
      </c>
      <c r="E103" s="33">
        <v>3.4602076124567476</v>
      </c>
      <c r="F103" s="33">
        <v>4.844290657439446</v>
      </c>
      <c r="G103" s="33">
        <v>0.17301038062283736</v>
      </c>
      <c r="H103" s="33" t="s">
        <v>189</v>
      </c>
      <c r="I103" s="33" t="s">
        <v>189</v>
      </c>
      <c r="J103" s="33" t="s">
        <v>189</v>
      </c>
      <c r="K103" s="33" t="s">
        <v>189</v>
      </c>
      <c r="L103" s="33">
        <v>41.522491349480966</v>
      </c>
      <c r="M103" s="33">
        <v>0.86505190311418689</v>
      </c>
    </row>
    <row r="104" spans="1:13" ht="12" customHeight="1" x14ac:dyDescent="0.2">
      <c r="A104" s="15"/>
    </row>
  </sheetData>
  <mergeCells count="7">
    <mergeCell ref="A1:M1"/>
    <mergeCell ref="A2:M2"/>
    <mergeCell ref="A3:A5"/>
    <mergeCell ref="B3:B5"/>
    <mergeCell ref="C3:M3"/>
    <mergeCell ref="C4:K4"/>
    <mergeCell ref="L4:M4"/>
  </mergeCells>
  <pageMargins left="0.74803149606299213" right="0.23622047244094491" top="0.74803149606299213" bottom="0.74803149606299213" header="0.31496062992125984" footer="0.31496062992125984"/>
  <pageSetup paperSize="9" scale="85" fitToHeight="0" orientation="landscape" r:id="rId1"/>
  <headerFooter differentOddEven="1" differentFirst="1" alignWithMargins="0">
    <oddHeader xml:space="preserve">&amp;C&amp;7СТРОИТЕЛЬНЫЕ ОРГАНИЗАЦИИ&amp;R&amp;6&amp;UПродолжение таблицы 2.7.&amp;11&amp;U  </oddHeader>
    <oddFooter>&amp;L&amp;P&amp;C&amp;8СТРОИТЕЛЬСТВО В РОССИИ. 2022&amp;R&amp;G</oddFooter>
    <evenHeader>&amp;C&amp;7СТРОИТЕЛЬНЫЕ ОРГАНИЗАЦИИ&amp;R&amp;6&amp;UПродолжение таблицы 2.7.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
&amp;R&amp;G</firstFooter>
  </headerFooter>
  <rowBreaks count="2" manualBreakCount="2">
    <brk id="39" max="16383" man="1"/>
    <brk id="71" max="16383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2"/>
  <sheetViews>
    <sheetView zoomScale="110" zoomScaleNormal="110" workbookViewId="0">
      <selection activeCell="AC18" sqref="AC18"/>
    </sheetView>
  </sheetViews>
  <sheetFormatPr defaultColWidth="8.85546875" defaultRowHeight="15" x14ac:dyDescent="0.25"/>
  <cols>
    <col min="1" max="1" width="23.7109375" style="2" customWidth="1"/>
    <col min="2" max="2" width="9.7109375" style="41" customWidth="1"/>
    <col min="3" max="19" width="9.7109375" style="2" customWidth="1"/>
    <col min="20" max="25" width="8.85546875" style="2" customWidth="1"/>
    <col min="26" max="26" width="10.5703125" style="2" customWidth="1"/>
    <col min="27" max="27" width="11" style="2" customWidth="1"/>
    <col min="28" max="28" width="10.5703125" style="2" customWidth="1"/>
    <col min="29" max="31" width="8.85546875" style="2" customWidth="1"/>
    <col min="32" max="16384" width="8.85546875" style="2"/>
  </cols>
  <sheetData>
    <row r="1" spans="1:31" ht="33.75" customHeight="1" x14ac:dyDescent="0.25">
      <c r="A1" s="38"/>
      <c r="B1" s="64"/>
      <c r="C1" s="79" t="s">
        <v>185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38"/>
      <c r="Q1" s="38"/>
      <c r="R1" s="38"/>
      <c r="S1" s="38"/>
    </row>
    <row r="2" spans="1:31" ht="15" customHeight="1" x14ac:dyDescent="0.25">
      <c r="B2" s="65"/>
      <c r="C2" s="96" t="s">
        <v>155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39"/>
      <c r="Q2" s="39"/>
      <c r="R2" s="39"/>
      <c r="S2" s="39"/>
    </row>
    <row r="3" spans="1:31" s="16" customFormat="1" ht="36.75" customHeight="1" x14ac:dyDescent="0.25">
      <c r="A3" s="68"/>
      <c r="B3" s="68"/>
      <c r="C3" s="14" t="s">
        <v>156</v>
      </c>
      <c r="D3" s="14" t="s">
        <v>157</v>
      </c>
      <c r="E3" s="14" t="s">
        <v>158</v>
      </c>
      <c r="F3" s="14" t="s">
        <v>159</v>
      </c>
      <c r="G3" s="14" t="s">
        <v>160</v>
      </c>
      <c r="H3" s="14" t="s">
        <v>161</v>
      </c>
      <c r="I3" s="14" t="s">
        <v>162</v>
      </c>
      <c r="J3" s="14" t="s">
        <v>163</v>
      </c>
      <c r="K3" s="14" t="s">
        <v>164</v>
      </c>
      <c r="L3" s="14" t="s">
        <v>165</v>
      </c>
      <c r="M3" s="14" t="s">
        <v>166</v>
      </c>
      <c r="N3" s="14" t="s">
        <v>167</v>
      </c>
      <c r="O3" s="14" t="s">
        <v>168</v>
      </c>
      <c r="P3" s="14" t="s">
        <v>169</v>
      </c>
      <c r="Q3" s="14" t="s">
        <v>170</v>
      </c>
      <c r="R3" s="14" t="s">
        <v>171</v>
      </c>
      <c r="S3" s="14" t="s">
        <v>172</v>
      </c>
      <c r="T3" s="14" t="s">
        <v>173</v>
      </c>
      <c r="U3" s="14" t="s">
        <v>174</v>
      </c>
      <c r="V3" s="14" t="s">
        <v>175</v>
      </c>
      <c r="W3" s="14" t="s">
        <v>176</v>
      </c>
      <c r="X3" s="14" t="s">
        <v>177</v>
      </c>
      <c r="Y3" s="14" t="s">
        <v>132</v>
      </c>
      <c r="Z3" s="14" t="s">
        <v>178</v>
      </c>
      <c r="AA3" s="14" t="s">
        <v>179</v>
      </c>
      <c r="AB3" s="14" t="s">
        <v>180</v>
      </c>
      <c r="AC3" s="14" t="s">
        <v>182</v>
      </c>
      <c r="AD3" s="14" t="s">
        <v>183</v>
      </c>
      <c r="AE3" s="14" t="s">
        <v>181</v>
      </c>
    </row>
    <row r="4" spans="1:31" s="4" customFormat="1" x14ac:dyDescent="0.25">
      <c r="A4" s="72" t="s">
        <v>1</v>
      </c>
      <c r="B4" s="40">
        <v>100</v>
      </c>
      <c r="C4" s="18">
        <v>1.01</v>
      </c>
      <c r="D4" s="18">
        <v>0.63</v>
      </c>
      <c r="E4" s="18">
        <v>0.69</v>
      </c>
      <c r="F4" s="18">
        <v>1</v>
      </c>
      <c r="G4" s="18">
        <v>0.53</v>
      </c>
      <c r="H4" s="18">
        <v>1.07</v>
      </c>
      <c r="I4" s="18">
        <v>1.05</v>
      </c>
      <c r="J4" s="18">
        <v>1.1599999999999999</v>
      </c>
      <c r="K4" s="18">
        <v>1.1200000000000001</v>
      </c>
      <c r="L4" s="18">
        <v>1.33</v>
      </c>
      <c r="M4" s="18">
        <v>1.18</v>
      </c>
      <c r="N4" s="18">
        <v>1.35</v>
      </c>
      <c r="O4" s="18">
        <v>1.27</v>
      </c>
      <c r="P4" s="18">
        <v>1.52</v>
      </c>
      <c r="Q4" s="18">
        <v>3.11</v>
      </c>
      <c r="R4" s="18">
        <v>2.89</v>
      </c>
      <c r="S4" s="18">
        <v>3.44</v>
      </c>
      <c r="T4" s="18">
        <v>3.78</v>
      </c>
      <c r="U4" s="18">
        <v>8.1300000000000008</v>
      </c>
      <c r="V4" s="18">
        <v>12.8</v>
      </c>
      <c r="W4" s="18">
        <v>10.78</v>
      </c>
      <c r="X4" s="18">
        <v>8.64</v>
      </c>
      <c r="Y4" s="18">
        <v>14.09</v>
      </c>
      <c r="Z4" s="18">
        <v>14.93</v>
      </c>
      <c r="AA4" s="18">
        <v>2.0099999999999998</v>
      </c>
      <c r="AB4" s="18">
        <v>0.38</v>
      </c>
      <c r="AC4" s="18">
        <v>0.05</v>
      </c>
      <c r="AD4" s="18">
        <v>0.02</v>
      </c>
      <c r="AE4" s="18">
        <v>0.02</v>
      </c>
    </row>
    <row r="5" spans="1:31" s="4" customFormat="1" ht="20.25" customHeight="1" x14ac:dyDescent="0.25">
      <c r="A5" s="73" t="s">
        <v>110</v>
      </c>
      <c r="B5" s="40">
        <v>100</v>
      </c>
      <c r="C5" s="18">
        <v>0.78</v>
      </c>
      <c r="D5" s="18">
        <v>0.68</v>
      </c>
      <c r="E5" s="18">
        <v>0.53</v>
      </c>
      <c r="F5" s="18">
        <v>0.77</v>
      </c>
      <c r="G5" s="18">
        <v>0.44</v>
      </c>
      <c r="H5" s="18">
        <v>0.89</v>
      </c>
      <c r="I5" s="18">
        <v>0.76</v>
      </c>
      <c r="J5" s="18">
        <v>0.99</v>
      </c>
      <c r="K5" s="18">
        <v>0.93</v>
      </c>
      <c r="L5" s="18">
        <v>1.1100000000000001</v>
      </c>
      <c r="M5" s="18">
        <v>1.0900000000000001</v>
      </c>
      <c r="N5" s="18">
        <v>1.33</v>
      </c>
      <c r="O5" s="18">
        <v>1.05</v>
      </c>
      <c r="P5" s="18">
        <v>1.04</v>
      </c>
      <c r="Q5" s="18">
        <v>2.56</v>
      </c>
      <c r="R5" s="18">
        <v>2.27</v>
      </c>
      <c r="S5" s="18">
        <v>2.88</v>
      </c>
      <c r="T5" s="18">
        <v>3.42</v>
      </c>
      <c r="U5" s="18">
        <v>8.1999999999999993</v>
      </c>
      <c r="V5" s="18">
        <v>13.93</v>
      </c>
      <c r="W5" s="18">
        <v>12.32</v>
      </c>
      <c r="X5" s="18">
        <v>9.17</v>
      </c>
      <c r="Y5" s="18">
        <v>14.63</v>
      </c>
      <c r="Z5" s="18">
        <v>14.62</v>
      </c>
      <c r="AA5" s="18">
        <v>2.77</v>
      </c>
      <c r="AB5" s="18">
        <v>0.65</v>
      </c>
      <c r="AC5" s="18">
        <v>0.11</v>
      </c>
      <c r="AD5" s="18">
        <v>0.05</v>
      </c>
      <c r="AE5" s="18">
        <v>0.04</v>
      </c>
    </row>
    <row r="6" spans="1:31" ht="12" customHeight="1" x14ac:dyDescent="0.25">
      <c r="A6" s="74" t="s">
        <v>2</v>
      </c>
      <c r="B6" s="69">
        <v>100</v>
      </c>
      <c r="C6" s="26">
        <v>0.72</v>
      </c>
      <c r="D6" s="26">
        <v>0.83</v>
      </c>
      <c r="E6" s="26">
        <v>0.55000000000000004</v>
      </c>
      <c r="F6" s="26">
        <v>2.0299999999999998</v>
      </c>
      <c r="G6" s="26">
        <v>0.71</v>
      </c>
      <c r="H6" s="26">
        <v>1.91</v>
      </c>
      <c r="I6" s="26">
        <v>1.4</v>
      </c>
      <c r="J6" s="26">
        <v>1.54</v>
      </c>
      <c r="K6" s="26">
        <v>1.43</v>
      </c>
      <c r="L6" s="26">
        <v>1.68</v>
      </c>
      <c r="M6" s="26">
        <v>1.52</v>
      </c>
      <c r="N6" s="26">
        <v>3.23</v>
      </c>
      <c r="O6" s="26">
        <v>1.75</v>
      </c>
      <c r="P6" s="26">
        <v>2.25</v>
      </c>
      <c r="Q6" s="26">
        <v>4.05</v>
      </c>
      <c r="R6" s="26">
        <v>4.12</v>
      </c>
      <c r="S6" s="26">
        <v>5.68</v>
      </c>
      <c r="T6" s="26">
        <v>7</v>
      </c>
      <c r="U6" s="26">
        <v>12.65</v>
      </c>
      <c r="V6" s="26">
        <v>14.5</v>
      </c>
      <c r="W6" s="26">
        <v>9.59</v>
      </c>
      <c r="X6" s="26">
        <v>7.01</v>
      </c>
      <c r="Y6" s="26">
        <v>8.9499999999999993</v>
      </c>
      <c r="Z6" s="26">
        <v>4.43</v>
      </c>
      <c r="AA6" s="26">
        <v>0.44</v>
      </c>
      <c r="AB6" s="26">
        <v>0.03</v>
      </c>
      <c r="AC6" s="26" t="s">
        <v>189</v>
      </c>
      <c r="AD6" s="26" t="s">
        <v>189</v>
      </c>
      <c r="AE6" s="26" t="s">
        <v>189</v>
      </c>
    </row>
    <row r="7" spans="1:31" ht="12" customHeight="1" x14ac:dyDescent="0.25">
      <c r="A7" s="74" t="s">
        <v>3</v>
      </c>
      <c r="B7" s="69">
        <v>100</v>
      </c>
      <c r="C7" s="26">
        <v>1.57</v>
      </c>
      <c r="D7" s="26">
        <v>2.19</v>
      </c>
      <c r="E7" s="26">
        <v>1.36</v>
      </c>
      <c r="F7" s="26">
        <v>2.08</v>
      </c>
      <c r="G7" s="26">
        <v>4.0999999999999996</v>
      </c>
      <c r="H7" s="26">
        <v>6.65</v>
      </c>
      <c r="I7" s="26">
        <v>3.49</v>
      </c>
      <c r="J7" s="26">
        <v>5.89</v>
      </c>
      <c r="K7" s="26">
        <v>2.7</v>
      </c>
      <c r="L7" s="26">
        <v>3.83</v>
      </c>
      <c r="M7" s="26">
        <v>2.9</v>
      </c>
      <c r="N7" s="26">
        <v>4.9800000000000004</v>
      </c>
      <c r="O7" s="26">
        <v>10.42</v>
      </c>
      <c r="P7" s="26">
        <v>4.6900000000000004</v>
      </c>
      <c r="Q7" s="26">
        <v>9.1199999999999992</v>
      </c>
      <c r="R7" s="26">
        <v>5.46</v>
      </c>
      <c r="S7" s="26">
        <v>4.67</v>
      </c>
      <c r="T7" s="26">
        <v>4.32</v>
      </c>
      <c r="U7" s="26">
        <v>6.64</v>
      </c>
      <c r="V7" s="26">
        <v>4.8499999999999996</v>
      </c>
      <c r="W7" s="26">
        <v>3.33</v>
      </c>
      <c r="X7" s="26">
        <v>1.43</v>
      </c>
      <c r="Y7" s="26">
        <v>1.74</v>
      </c>
      <c r="Z7" s="26">
        <v>1.43</v>
      </c>
      <c r="AA7" s="26">
        <v>0.12</v>
      </c>
      <c r="AB7" s="26">
        <v>0.04</v>
      </c>
      <c r="AC7" s="26" t="s">
        <v>189</v>
      </c>
      <c r="AD7" s="26" t="s">
        <v>189</v>
      </c>
      <c r="AE7" s="26" t="s">
        <v>189</v>
      </c>
    </row>
    <row r="8" spans="1:31" ht="12" customHeight="1" x14ac:dyDescent="0.25">
      <c r="A8" s="74" t="s">
        <v>4</v>
      </c>
      <c r="B8" s="69">
        <v>100</v>
      </c>
      <c r="C8" s="26">
        <v>1.54</v>
      </c>
      <c r="D8" s="26">
        <v>2.17</v>
      </c>
      <c r="E8" s="26">
        <v>0.56000000000000005</v>
      </c>
      <c r="F8" s="26">
        <v>0.6</v>
      </c>
      <c r="G8" s="26">
        <v>0.35</v>
      </c>
      <c r="H8" s="26">
        <v>0.28000000000000003</v>
      </c>
      <c r="I8" s="26">
        <v>0.67</v>
      </c>
      <c r="J8" s="26">
        <v>1.26</v>
      </c>
      <c r="K8" s="26">
        <v>0.6</v>
      </c>
      <c r="L8" s="26">
        <v>1.23</v>
      </c>
      <c r="M8" s="26">
        <v>2.11</v>
      </c>
      <c r="N8" s="26">
        <v>3.4</v>
      </c>
      <c r="O8" s="26">
        <v>2.64</v>
      </c>
      <c r="P8" s="26">
        <v>3.72</v>
      </c>
      <c r="Q8" s="26">
        <v>7.3</v>
      </c>
      <c r="R8" s="26">
        <v>11.62</v>
      </c>
      <c r="S8" s="26">
        <v>10.25</v>
      </c>
      <c r="T8" s="26">
        <v>8.6300000000000008</v>
      </c>
      <c r="U8" s="26">
        <v>13.09</v>
      </c>
      <c r="V8" s="26">
        <v>11.93</v>
      </c>
      <c r="W8" s="26">
        <v>5.72</v>
      </c>
      <c r="X8" s="26">
        <v>4.07</v>
      </c>
      <c r="Y8" s="26">
        <v>3.51</v>
      </c>
      <c r="Z8" s="26">
        <v>2.66</v>
      </c>
      <c r="AA8" s="26">
        <v>0.11</v>
      </c>
      <c r="AB8" s="26" t="s">
        <v>189</v>
      </c>
      <c r="AC8" s="26" t="s">
        <v>189</v>
      </c>
      <c r="AD8" s="26" t="s">
        <v>189</v>
      </c>
      <c r="AE8" s="26" t="s">
        <v>189</v>
      </c>
    </row>
    <row r="9" spans="1:31" ht="12" customHeight="1" x14ac:dyDescent="0.25">
      <c r="A9" s="74" t="s">
        <v>5</v>
      </c>
      <c r="B9" s="69">
        <v>100</v>
      </c>
      <c r="C9" s="26">
        <v>1.69</v>
      </c>
      <c r="D9" s="26">
        <v>2.2599999999999998</v>
      </c>
      <c r="E9" s="26">
        <v>4.53</v>
      </c>
      <c r="F9" s="26">
        <v>6.31</v>
      </c>
      <c r="G9" s="26">
        <v>1.86</v>
      </c>
      <c r="H9" s="26">
        <v>2.0499999999999998</v>
      </c>
      <c r="I9" s="26">
        <v>2.19</v>
      </c>
      <c r="J9" s="26">
        <v>1.47</v>
      </c>
      <c r="K9" s="26">
        <v>1.39</v>
      </c>
      <c r="L9" s="26">
        <v>2.17</v>
      </c>
      <c r="M9" s="26">
        <v>1.55</v>
      </c>
      <c r="N9" s="26">
        <v>1.58</v>
      </c>
      <c r="O9" s="26">
        <v>1.36</v>
      </c>
      <c r="P9" s="26">
        <v>1.71</v>
      </c>
      <c r="Q9" s="26">
        <v>10.41</v>
      </c>
      <c r="R9" s="26">
        <v>5.6</v>
      </c>
      <c r="S9" s="26">
        <v>7.1</v>
      </c>
      <c r="T9" s="26">
        <v>3.3</v>
      </c>
      <c r="U9" s="26">
        <v>13.25</v>
      </c>
      <c r="V9" s="26">
        <v>10.43</v>
      </c>
      <c r="W9" s="26">
        <v>5.6</v>
      </c>
      <c r="X9" s="26">
        <v>3.79</v>
      </c>
      <c r="Y9" s="26">
        <v>4.76</v>
      </c>
      <c r="Z9" s="26">
        <v>2.74</v>
      </c>
      <c r="AA9" s="26">
        <v>0.73</v>
      </c>
      <c r="AB9" s="26">
        <v>0.1</v>
      </c>
      <c r="AC9" s="26" t="s">
        <v>189</v>
      </c>
      <c r="AD9" s="26">
        <v>7.0000000000000007E-2</v>
      </c>
      <c r="AE9" s="26" t="s">
        <v>189</v>
      </c>
    </row>
    <row r="10" spans="1:31" ht="12" customHeight="1" x14ac:dyDescent="0.25">
      <c r="A10" s="74" t="s">
        <v>6</v>
      </c>
      <c r="B10" s="69">
        <v>100</v>
      </c>
      <c r="C10" s="26">
        <v>4.0999999999999996</v>
      </c>
      <c r="D10" s="26">
        <v>0.33</v>
      </c>
      <c r="E10" s="26">
        <v>0.35</v>
      </c>
      <c r="F10" s="26">
        <v>0.68</v>
      </c>
      <c r="G10" s="26">
        <v>0.14000000000000001</v>
      </c>
      <c r="H10" s="26">
        <v>1.1599999999999999</v>
      </c>
      <c r="I10" s="26">
        <v>21.7</v>
      </c>
      <c r="J10" s="26">
        <v>0.4</v>
      </c>
      <c r="K10" s="26">
        <v>6.98</v>
      </c>
      <c r="L10" s="26">
        <v>1.21</v>
      </c>
      <c r="M10" s="26">
        <v>5.88</v>
      </c>
      <c r="N10" s="26">
        <v>3.43</v>
      </c>
      <c r="O10" s="26">
        <v>5.84</v>
      </c>
      <c r="P10" s="26">
        <v>1.58</v>
      </c>
      <c r="Q10" s="26">
        <v>13.12</v>
      </c>
      <c r="R10" s="26">
        <v>8.01</v>
      </c>
      <c r="S10" s="26">
        <v>10.050000000000001</v>
      </c>
      <c r="T10" s="26">
        <v>2.65</v>
      </c>
      <c r="U10" s="26">
        <v>5.87</v>
      </c>
      <c r="V10" s="26">
        <v>4.1100000000000003</v>
      </c>
      <c r="W10" s="26">
        <v>0.63</v>
      </c>
      <c r="X10" s="26">
        <v>0.44</v>
      </c>
      <c r="Y10" s="26">
        <v>0.96</v>
      </c>
      <c r="Z10" s="26">
        <v>0.38</v>
      </c>
      <c r="AA10" s="26" t="s">
        <v>189</v>
      </c>
      <c r="AB10" s="26" t="s">
        <v>189</v>
      </c>
      <c r="AC10" s="26" t="s">
        <v>189</v>
      </c>
      <c r="AD10" s="26" t="s">
        <v>189</v>
      </c>
      <c r="AE10" s="26" t="s">
        <v>189</v>
      </c>
    </row>
    <row r="11" spans="1:31" ht="12" customHeight="1" x14ac:dyDescent="0.25">
      <c r="A11" s="74" t="s">
        <v>7</v>
      </c>
      <c r="B11" s="69">
        <v>100</v>
      </c>
      <c r="C11" s="26">
        <v>1.22</v>
      </c>
      <c r="D11" s="26">
        <v>0.22</v>
      </c>
      <c r="E11" s="26">
        <v>0.77</v>
      </c>
      <c r="F11" s="26">
        <v>0.38</v>
      </c>
      <c r="G11" s="26">
        <v>0.14000000000000001</v>
      </c>
      <c r="H11" s="26">
        <v>0.8</v>
      </c>
      <c r="I11" s="26">
        <v>0.27</v>
      </c>
      <c r="J11" s="26">
        <v>0.35</v>
      </c>
      <c r="K11" s="26">
        <v>3.75</v>
      </c>
      <c r="L11" s="26">
        <v>0.38</v>
      </c>
      <c r="M11" s="26">
        <v>6.28</v>
      </c>
      <c r="N11" s="26">
        <v>0.72</v>
      </c>
      <c r="O11" s="26">
        <v>3.21</v>
      </c>
      <c r="P11" s="26">
        <v>0.46</v>
      </c>
      <c r="Q11" s="26">
        <v>3.34</v>
      </c>
      <c r="R11" s="26">
        <v>2.7</v>
      </c>
      <c r="S11" s="26">
        <v>9.09</v>
      </c>
      <c r="T11" s="26">
        <v>3.26</v>
      </c>
      <c r="U11" s="26">
        <v>10.86</v>
      </c>
      <c r="V11" s="26">
        <v>16.41</v>
      </c>
      <c r="W11" s="26">
        <v>14.8</v>
      </c>
      <c r="X11" s="26">
        <v>8.43</v>
      </c>
      <c r="Y11" s="26">
        <v>7.4</v>
      </c>
      <c r="Z11" s="26">
        <v>4.01</v>
      </c>
      <c r="AA11" s="26">
        <v>0.7</v>
      </c>
      <c r="AB11" s="26">
        <v>0.03</v>
      </c>
      <c r="AC11" s="26">
        <v>0.04</v>
      </c>
      <c r="AD11" s="26" t="s">
        <v>189</v>
      </c>
      <c r="AE11" s="26" t="s">
        <v>189</v>
      </c>
    </row>
    <row r="12" spans="1:31" ht="12" customHeight="1" x14ac:dyDescent="0.25">
      <c r="A12" s="74" t="s">
        <v>8</v>
      </c>
      <c r="B12" s="69">
        <v>100</v>
      </c>
      <c r="C12" s="26">
        <v>0.39</v>
      </c>
      <c r="D12" s="26">
        <v>1.62</v>
      </c>
      <c r="E12" s="26">
        <v>1.01</v>
      </c>
      <c r="F12" s="26">
        <v>1.9</v>
      </c>
      <c r="G12" s="26">
        <v>0.67</v>
      </c>
      <c r="H12" s="26">
        <v>23.41</v>
      </c>
      <c r="I12" s="26">
        <v>1.34</v>
      </c>
      <c r="J12" s="26">
        <v>0.45</v>
      </c>
      <c r="K12" s="26">
        <v>1.23</v>
      </c>
      <c r="L12" s="26">
        <v>1.4</v>
      </c>
      <c r="M12" s="26">
        <v>0.62</v>
      </c>
      <c r="N12" s="26">
        <v>1.23</v>
      </c>
      <c r="O12" s="26">
        <v>1.74</v>
      </c>
      <c r="P12" s="26">
        <v>1.29</v>
      </c>
      <c r="Q12" s="26">
        <v>3.42</v>
      </c>
      <c r="R12" s="26">
        <v>2.8</v>
      </c>
      <c r="S12" s="26">
        <v>4.2</v>
      </c>
      <c r="T12" s="26">
        <v>3.02</v>
      </c>
      <c r="U12" s="26">
        <v>5.54</v>
      </c>
      <c r="V12" s="26">
        <v>8.2899999999999991</v>
      </c>
      <c r="W12" s="26">
        <v>6.78</v>
      </c>
      <c r="X12" s="26">
        <v>7.95</v>
      </c>
      <c r="Y12" s="26">
        <v>13.14</v>
      </c>
      <c r="Z12" s="26">
        <v>5.88</v>
      </c>
      <c r="AA12" s="26">
        <v>0.56000000000000005</v>
      </c>
      <c r="AB12" s="26">
        <v>0.11</v>
      </c>
      <c r="AC12" s="26" t="s">
        <v>189</v>
      </c>
      <c r="AD12" s="26" t="s">
        <v>189</v>
      </c>
      <c r="AE12" s="26" t="s">
        <v>189</v>
      </c>
    </row>
    <row r="13" spans="1:31" ht="12" customHeight="1" x14ac:dyDescent="0.25">
      <c r="A13" s="74" t="s">
        <v>9</v>
      </c>
      <c r="B13" s="69">
        <v>100</v>
      </c>
      <c r="C13" s="26">
        <v>0.48</v>
      </c>
      <c r="D13" s="26">
        <v>2.96</v>
      </c>
      <c r="E13" s="26">
        <v>1.54</v>
      </c>
      <c r="F13" s="26">
        <v>1.33</v>
      </c>
      <c r="G13" s="26">
        <v>0.71</v>
      </c>
      <c r="H13" s="26">
        <v>0.73</v>
      </c>
      <c r="I13" s="26">
        <v>0.8</v>
      </c>
      <c r="J13" s="26">
        <v>2.4300000000000002</v>
      </c>
      <c r="K13" s="26">
        <v>1.74</v>
      </c>
      <c r="L13" s="26">
        <v>2.19</v>
      </c>
      <c r="M13" s="26">
        <v>1.54</v>
      </c>
      <c r="N13" s="26">
        <v>1.9</v>
      </c>
      <c r="O13" s="26">
        <v>1.48</v>
      </c>
      <c r="P13" s="26">
        <v>3.29</v>
      </c>
      <c r="Q13" s="26">
        <v>3.53</v>
      </c>
      <c r="R13" s="26">
        <v>4.01</v>
      </c>
      <c r="S13" s="26">
        <v>3.2</v>
      </c>
      <c r="T13" s="26">
        <v>7.85</v>
      </c>
      <c r="U13" s="26">
        <v>11.48</v>
      </c>
      <c r="V13" s="26">
        <v>19.3</v>
      </c>
      <c r="W13" s="26">
        <v>11.09</v>
      </c>
      <c r="X13" s="26">
        <v>5.87</v>
      </c>
      <c r="Y13" s="26">
        <v>6.65</v>
      </c>
      <c r="Z13" s="26">
        <v>3.57</v>
      </c>
      <c r="AA13" s="26">
        <v>0.26</v>
      </c>
      <c r="AB13" s="26">
        <v>0.05</v>
      </c>
      <c r="AC13" s="26" t="s">
        <v>189</v>
      </c>
      <c r="AD13" s="26" t="s">
        <v>189</v>
      </c>
      <c r="AE13" s="26">
        <v>0.01</v>
      </c>
    </row>
    <row r="14" spans="1:31" ht="12" customHeight="1" x14ac:dyDescent="0.25">
      <c r="A14" s="74" t="s">
        <v>10</v>
      </c>
      <c r="B14" s="69">
        <v>100</v>
      </c>
      <c r="C14" s="26">
        <v>1.1299999999999999</v>
      </c>
      <c r="D14" s="26">
        <v>3.28</v>
      </c>
      <c r="E14" s="26">
        <v>0.99</v>
      </c>
      <c r="F14" s="26">
        <v>1.46</v>
      </c>
      <c r="G14" s="26">
        <v>0.56000000000000005</v>
      </c>
      <c r="H14" s="26">
        <v>3.57</v>
      </c>
      <c r="I14" s="26">
        <v>1.63</v>
      </c>
      <c r="J14" s="26">
        <v>2.04</v>
      </c>
      <c r="K14" s="26">
        <v>1.83</v>
      </c>
      <c r="L14" s="26">
        <v>2.98</v>
      </c>
      <c r="M14" s="26">
        <v>4.33</v>
      </c>
      <c r="N14" s="26">
        <v>2.04</v>
      </c>
      <c r="O14" s="26">
        <v>1.32</v>
      </c>
      <c r="P14" s="26">
        <v>3.34</v>
      </c>
      <c r="Q14" s="26">
        <v>4.2300000000000004</v>
      </c>
      <c r="R14" s="26">
        <v>3.46</v>
      </c>
      <c r="S14" s="26">
        <v>5.23</v>
      </c>
      <c r="T14" s="26">
        <v>4.41</v>
      </c>
      <c r="U14" s="26">
        <v>10.31</v>
      </c>
      <c r="V14" s="26">
        <v>12.68</v>
      </c>
      <c r="W14" s="26">
        <v>10.99</v>
      </c>
      <c r="X14" s="26">
        <v>6.54</v>
      </c>
      <c r="Y14" s="26">
        <v>6.22</v>
      </c>
      <c r="Z14" s="26">
        <v>4.59</v>
      </c>
      <c r="AA14" s="26">
        <v>0.75</v>
      </c>
      <c r="AB14" s="26">
        <v>0.09</v>
      </c>
      <c r="AC14" s="26" t="s">
        <v>189</v>
      </c>
      <c r="AD14" s="26" t="s">
        <v>189</v>
      </c>
      <c r="AE14" s="66" t="s">
        <v>189</v>
      </c>
    </row>
    <row r="15" spans="1:31" ht="12" customHeight="1" x14ac:dyDescent="0.25">
      <c r="A15" s="74" t="s">
        <v>11</v>
      </c>
      <c r="B15" s="69">
        <v>100</v>
      </c>
      <c r="C15" s="26">
        <v>1.49</v>
      </c>
      <c r="D15" s="26">
        <v>0.25</v>
      </c>
      <c r="E15" s="26">
        <v>0.32</v>
      </c>
      <c r="F15" s="26">
        <v>0.97</v>
      </c>
      <c r="G15" s="26">
        <v>0.65</v>
      </c>
      <c r="H15" s="26">
        <v>0.73</v>
      </c>
      <c r="I15" s="26">
        <v>0.47</v>
      </c>
      <c r="J15" s="26">
        <v>1.27</v>
      </c>
      <c r="K15" s="26">
        <v>0.83</v>
      </c>
      <c r="L15" s="26">
        <v>1.06</v>
      </c>
      <c r="M15" s="26">
        <v>1.34</v>
      </c>
      <c r="N15" s="26">
        <v>1.19</v>
      </c>
      <c r="O15" s="26">
        <v>0.78</v>
      </c>
      <c r="P15" s="26">
        <v>0.9</v>
      </c>
      <c r="Q15" s="26">
        <v>2.52</v>
      </c>
      <c r="R15" s="26">
        <v>2.34</v>
      </c>
      <c r="S15" s="26">
        <v>2.6</v>
      </c>
      <c r="T15" s="26">
        <v>2.64</v>
      </c>
      <c r="U15" s="26">
        <v>8.52</v>
      </c>
      <c r="V15" s="26">
        <v>14.03</v>
      </c>
      <c r="W15" s="26">
        <v>12.2</v>
      </c>
      <c r="X15" s="26">
        <v>10.59</v>
      </c>
      <c r="Y15" s="26">
        <v>17.46</v>
      </c>
      <c r="Z15" s="26">
        <v>12.45</v>
      </c>
      <c r="AA15" s="26">
        <v>1.81</v>
      </c>
      <c r="AB15" s="26">
        <v>0.49</v>
      </c>
      <c r="AC15" s="26">
        <v>0.04</v>
      </c>
      <c r="AD15" s="26">
        <v>0.02</v>
      </c>
      <c r="AE15" s="26">
        <v>0.05</v>
      </c>
    </row>
    <row r="16" spans="1:31" ht="12" customHeight="1" x14ac:dyDescent="0.25">
      <c r="A16" s="74" t="s">
        <v>12</v>
      </c>
      <c r="B16" s="69">
        <v>100</v>
      </c>
      <c r="C16" s="26">
        <v>0.4</v>
      </c>
      <c r="D16" s="26">
        <v>0.95</v>
      </c>
      <c r="E16" s="26">
        <v>0.75</v>
      </c>
      <c r="F16" s="26">
        <v>0.45</v>
      </c>
      <c r="G16" s="26">
        <v>0.4</v>
      </c>
      <c r="H16" s="26">
        <v>0.6</v>
      </c>
      <c r="I16" s="26">
        <v>1.46</v>
      </c>
      <c r="J16" s="26">
        <v>1.46</v>
      </c>
      <c r="K16" s="26">
        <v>1.51</v>
      </c>
      <c r="L16" s="26">
        <v>3.26</v>
      </c>
      <c r="M16" s="26">
        <v>1.76</v>
      </c>
      <c r="N16" s="26">
        <v>3.01</v>
      </c>
      <c r="O16" s="26">
        <v>3.41</v>
      </c>
      <c r="P16" s="26">
        <v>3.21</v>
      </c>
      <c r="Q16" s="26">
        <v>9.3800000000000008</v>
      </c>
      <c r="R16" s="26">
        <v>8.43</v>
      </c>
      <c r="S16" s="26">
        <v>9.83</v>
      </c>
      <c r="T16" s="26">
        <v>7.68</v>
      </c>
      <c r="U16" s="26">
        <v>13.8</v>
      </c>
      <c r="V16" s="26">
        <v>14.2</v>
      </c>
      <c r="W16" s="26">
        <v>6.17</v>
      </c>
      <c r="X16" s="26">
        <v>3.41</v>
      </c>
      <c r="Y16" s="26">
        <v>2.46</v>
      </c>
      <c r="Z16" s="26">
        <v>1.71</v>
      </c>
      <c r="AA16" s="26">
        <v>0.3</v>
      </c>
      <c r="AB16" s="26" t="s">
        <v>189</v>
      </c>
      <c r="AC16" s="26" t="s">
        <v>189</v>
      </c>
      <c r="AD16" s="26" t="s">
        <v>189</v>
      </c>
      <c r="AE16" s="26" t="s">
        <v>189</v>
      </c>
    </row>
    <row r="17" spans="1:31" ht="12" customHeight="1" x14ac:dyDescent="0.25">
      <c r="A17" s="74" t="s">
        <v>13</v>
      </c>
      <c r="B17" s="69">
        <v>100</v>
      </c>
      <c r="C17" s="26">
        <v>0.39</v>
      </c>
      <c r="D17" s="26">
        <v>3.14</v>
      </c>
      <c r="E17" s="26">
        <v>0.74</v>
      </c>
      <c r="F17" s="26">
        <v>0.69</v>
      </c>
      <c r="G17" s="26">
        <v>1.02</v>
      </c>
      <c r="H17" s="26">
        <v>0.99</v>
      </c>
      <c r="I17" s="26">
        <v>2.31</v>
      </c>
      <c r="J17" s="26">
        <v>3.71</v>
      </c>
      <c r="K17" s="26">
        <v>4.2699999999999996</v>
      </c>
      <c r="L17" s="26">
        <v>2.2000000000000002</v>
      </c>
      <c r="M17" s="26">
        <v>2</v>
      </c>
      <c r="N17" s="26">
        <v>5.19</v>
      </c>
      <c r="O17" s="26">
        <v>2.85</v>
      </c>
      <c r="P17" s="26">
        <v>2.65</v>
      </c>
      <c r="Q17" s="26">
        <v>6.17</v>
      </c>
      <c r="R17" s="26">
        <v>3.82</v>
      </c>
      <c r="S17" s="26">
        <v>6.14</v>
      </c>
      <c r="T17" s="26">
        <v>5.31</v>
      </c>
      <c r="U17" s="26">
        <v>12.26</v>
      </c>
      <c r="V17" s="26">
        <v>13.64</v>
      </c>
      <c r="W17" s="26">
        <v>6.28</v>
      </c>
      <c r="X17" s="26">
        <v>3.56</v>
      </c>
      <c r="Y17" s="26">
        <v>4.9400000000000004</v>
      </c>
      <c r="Z17" s="26">
        <v>4.95</v>
      </c>
      <c r="AA17" s="26">
        <v>0.63</v>
      </c>
      <c r="AB17" s="26">
        <v>0.13</v>
      </c>
      <c r="AC17" s="26" t="s">
        <v>189</v>
      </c>
      <c r="AD17" s="26" t="s">
        <v>189</v>
      </c>
      <c r="AE17" s="26" t="s">
        <v>189</v>
      </c>
    </row>
    <row r="18" spans="1:31" ht="12" customHeight="1" x14ac:dyDescent="0.25">
      <c r="A18" s="74" t="s">
        <v>14</v>
      </c>
      <c r="B18" s="69">
        <v>100</v>
      </c>
      <c r="C18" s="26">
        <v>0.67</v>
      </c>
      <c r="D18" s="26">
        <v>2.35</v>
      </c>
      <c r="E18" s="26">
        <v>2.54</v>
      </c>
      <c r="F18" s="26">
        <v>1.9</v>
      </c>
      <c r="G18" s="26">
        <v>1.22</v>
      </c>
      <c r="H18" s="26">
        <v>1.37</v>
      </c>
      <c r="I18" s="26">
        <v>1.45</v>
      </c>
      <c r="J18" s="26">
        <v>3.89</v>
      </c>
      <c r="K18" s="26">
        <v>1.49</v>
      </c>
      <c r="L18" s="26">
        <v>2.27</v>
      </c>
      <c r="M18" s="26">
        <v>2.06</v>
      </c>
      <c r="N18" s="26">
        <v>2.4900000000000002</v>
      </c>
      <c r="O18" s="26">
        <v>3.87</v>
      </c>
      <c r="P18" s="26">
        <v>3.78</v>
      </c>
      <c r="Q18" s="26">
        <v>7.73</v>
      </c>
      <c r="R18" s="26">
        <v>7.1</v>
      </c>
      <c r="S18" s="26">
        <v>8.83</v>
      </c>
      <c r="T18" s="26">
        <v>6.17</v>
      </c>
      <c r="U18" s="26">
        <v>10.87</v>
      </c>
      <c r="V18" s="26">
        <v>11.19</v>
      </c>
      <c r="W18" s="26">
        <v>5.82</v>
      </c>
      <c r="X18" s="26">
        <v>3.42</v>
      </c>
      <c r="Y18" s="26">
        <v>3.91</v>
      </c>
      <c r="Z18" s="26">
        <v>2.97</v>
      </c>
      <c r="AA18" s="26">
        <v>0.61</v>
      </c>
      <c r="AB18" s="26">
        <v>0.03</v>
      </c>
      <c r="AC18" s="26" t="s">
        <v>189</v>
      </c>
      <c r="AD18" s="26" t="s">
        <v>189</v>
      </c>
      <c r="AE18" s="26" t="s">
        <v>189</v>
      </c>
    </row>
    <row r="19" spans="1:31" ht="12" customHeight="1" x14ac:dyDescent="0.25">
      <c r="A19" s="74" t="s">
        <v>15</v>
      </c>
      <c r="B19" s="69">
        <v>100</v>
      </c>
      <c r="C19" s="26">
        <v>1.01</v>
      </c>
      <c r="D19" s="26">
        <v>3.23</v>
      </c>
      <c r="E19" s="26">
        <v>5.03</v>
      </c>
      <c r="F19" s="26">
        <v>7.52</v>
      </c>
      <c r="G19" s="26">
        <v>1.85</v>
      </c>
      <c r="H19" s="26">
        <v>2.17</v>
      </c>
      <c r="I19" s="26">
        <v>2.54</v>
      </c>
      <c r="J19" s="26">
        <v>3.23</v>
      </c>
      <c r="K19" s="26">
        <v>2.08</v>
      </c>
      <c r="L19" s="26">
        <v>4.8</v>
      </c>
      <c r="M19" s="26">
        <v>4.66</v>
      </c>
      <c r="N19" s="26">
        <v>3.78</v>
      </c>
      <c r="O19" s="26">
        <v>3.46</v>
      </c>
      <c r="P19" s="26">
        <v>1.98</v>
      </c>
      <c r="Q19" s="26">
        <v>4.5199999999999996</v>
      </c>
      <c r="R19" s="26">
        <v>4.84</v>
      </c>
      <c r="S19" s="26">
        <v>6.23</v>
      </c>
      <c r="T19" s="26">
        <v>5.77</v>
      </c>
      <c r="U19" s="26">
        <v>10.75</v>
      </c>
      <c r="V19" s="26">
        <v>6.55</v>
      </c>
      <c r="W19" s="26">
        <v>5.17</v>
      </c>
      <c r="X19" s="26">
        <v>3.64</v>
      </c>
      <c r="Y19" s="26">
        <v>3.32</v>
      </c>
      <c r="Z19" s="26">
        <v>1.66</v>
      </c>
      <c r="AA19" s="26">
        <v>0.23</v>
      </c>
      <c r="AB19" s="26" t="s">
        <v>189</v>
      </c>
      <c r="AC19" s="26" t="s">
        <v>189</v>
      </c>
      <c r="AD19" s="26" t="s">
        <v>189</v>
      </c>
      <c r="AE19" s="26" t="s">
        <v>189</v>
      </c>
    </row>
    <row r="20" spans="1:31" ht="12" customHeight="1" x14ac:dyDescent="0.25">
      <c r="A20" s="74" t="s">
        <v>16</v>
      </c>
      <c r="B20" s="69">
        <v>100</v>
      </c>
      <c r="C20" s="26">
        <v>0.56999999999999995</v>
      </c>
      <c r="D20" s="26">
        <v>1.42</v>
      </c>
      <c r="E20" s="26">
        <v>0.49</v>
      </c>
      <c r="F20" s="26">
        <v>0.98</v>
      </c>
      <c r="G20" s="26">
        <v>0.28999999999999998</v>
      </c>
      <c r="H20" s="26">
        <v>0.94</v>
      </c>
      <c r="I20" s="26">
        <v>1.7</v>
      </c>
      <c r="J20" s="26">
        <v>0.81</v>
      </c>
      <c r="K20" s="26">
        <v>0.99</v>
      </c>
      <c r="L20" s="26">
        <v>0.78</v>
      </c>
      <c r="M20" s="26">
        <v>0.76</v>
      </c>
      <c r="N20" s="26">
        <v>0.82</v>
      </c>
      <c r="O20" s="26">
        <v>0.76</v>
      </c>
      <c r="P20" s="26">
        <v>1.8</v>
      </c>
      <c r="Q20" s="26">
        <v>2.5499999999999998</v>
      </c>
      <c r="R20" s="26">
        <v>2.71</v>
      </c>
      <c r="S20" s="26">
        <v>3.33</v>
      </c>
      <c r="T20" s="26">
        <v>4.01</v>
      </c>
      <c r="U20" s="26">
        <v>12.65</v>
      </c>
      <c r="V20" s="26">
        <v>25.16</v>
      </c>
      <c r="W20" s="26">
        <v>17.010000000000002</v>
      </c>
      <c r="X20" s="26">
        <v>6.46</v>
      </c>
      <c r="Y20" s="26">
        <v>7.79</v>
      </c>
      <c r="Z20" s="26">
        <v>4.83</v>
      </c>
      <c r="AA20" s="26">
        <v>0.32</v>
      </c>
      <c r="AB20" s="26">
        <v>0.06</v>
      </c>
      <c r="AC20" s="26" t="s">
        <v>189</v>
      </c>
      <c r="AD20" s="26" t="s">
        <v>189</v>
      </c>
      <c r="AE20" s="26" t="s">
        <v>189</v>
      </c>
    </row>
    <row r="21" spans="1:31" ht="12" customHeight="1" x14ac:dyDescent="0.25">
      <c r="A21" s="74" t="s">
        <v>17</v>
      </c>
      <c r="B21" s="69">
        <v>100</v>
      </c>
      <c r="C21" s="26">
        <v>0.64</v>
      </c>
      <c r="D21" s="26">
        <v>0.5</v>
      </c>
      <c r="E21" s="26">
        <v>2.19</v>
      </c>
      <c r="F21" s="26">
        <v>1.69</v>
      </c>
      <c r="G21" s="26">
        <v>0.56000000000000005</v>
      </c>
      <c r="H21" s="26">
        <v>0.8</v>
      </c>
      <c r="I21" s="26">
        <v>1.38</v>
      </c>
      <c r="J21" s="26">
        <v>1.5</v>
      </c>
      <c r="K21" s="26">
        <v>1.54</v>
      </c>
      <c r="L21" s="26">
        <v>1.99</v>
      </c>
      <c r="M21" s="26">
        <v>2.23</v>
      </c>
      <c r="N21" s="26">
        <v>0.69</v>
      </c>
      <c r="O21" s="26">
        <v>0.99</v>
      </c>
      <c r="P21" s="26">
        <v>0.54</v>
      </c>
      <c r="Q21" s="26">
        <v>2.5099999999999998</v>
      </c>
      <c r="R21" s="26">
        <v>2.77</v>
      </c>
      <c r="S21" s="26">
        <v>3.57</v>
      </c>
      <c r="T21" s="26">
        <v>6.74</v>
      </c>
      <c r="U21" s="26">
        <v>16.12</v>
      </c>
      <c r="V21" s="26">
        <v>16.54</v>
      </c>
      <c r="W21" s="26">
        <v>11.41</v>
      </c>
      <c r="X21" s="26">
        <v>9.66</v>
      </c>
      <c r="Y21" s="26">
        <v>9.1</v>
      </c>
      <c r="Z21" s="26">
        <v>3.65</v>
      </c>
      <c r="AA21" s="26">
        <v>0.65</v>
      </c>
      <c r="AB21" s="26">
        <v>0.04</v>
      </c>
      <c r="AC21" s="26">
        <v>0.02</v>
      </c>
      <c r="AD21" s="26" t="s">
        <v>189</v>
      </c>
      <c r="AE21" s="26" t="s">
        <v>189</v>
      </c>
    </row>
    <row r="22" spans="1:31" ht="12" customHeight="1" x14ac:dyDescent="0.25">
      <c r="A22" s="74" t="s">
        <v>18</v>
      </c>
      <c r="B22" s="69">
        <v>100</v>
      </c>
      <c r="C22" s="26">
        <v>0.45</v>
      </c>
      <c r="D22" s="26">
        <v>5.83</v>
      </c>
      <c r="E22" s="26">
        <v>1.47</v>
      </c>
      <c r="F22" s="26">
        <v>2.4</v>
      </c>
      <c r="G22" s="26">
        <v>2.29</v>
      </c>
      <c r="H22" s="26">
        <v>2.2599999999999998</v>
      </c>
      <c r="I22" s="26">
        <v>2.36</v>
      </c>
      <c r="J22" s="26">
        <v>1.64</v>
      </c>
      <c r="K22" s="26">
        <v>1.3</v>
      </c>
      <c r="L22" s="26">
        <v>2.58</v>
      </c>
      <c r="M22" s="26">
        <v>1.48</v>
      </c>
      <c r="N22" s="26">
        <v>1.86</v>
      </c>
      <c r="O22" s="26">
        <v>2.0299999999999998</v>
      </c>
      <c r="P22" s="26">
        <v>1.57</v>
      </c>
      <c r="Q22" s="26">
        <v>3.55</v>
      </c>
      <c r="R22" s="26">
        <v>3.84</v>
      </c>
      <c r="S22" s="26">
        <v>3.52</v>
      </c>
      <c r="T22" s="26">
        <v>5.51</v>
      </c>
      <c r="U22" s="26">
        <v>14.58</v>
      </c>
      <c r="V22" s="26">
        <v>16.89</v>
      </c>
      <c r="W22" s="26">
        <v>9.5500000000000007</v>
      </c>
      <c r="X22" s="26">
        <v>4.72</v>
      </c>
      <c r="Y22" s="26">
        <v>5.07</v>
      </c>
      <c r="Z22" s="26">
        <v>2.98</v>
      </c>
      <c r="AA22" s="26">
        <v>0.28999999999999998</v>
      </c>
      <c r="AB22" s="26" t="s">
        <v>189</v>
      </c>
      <c r="AC22" s="26" t="s">
        <v>189</v>
      </c>
      <c r="AD22" s="26" t="s">
        <v>189</v>
      </c>
      <c r="AE22" s="26" t="s">
        <v>189</v>
      </c>
    </row>
    <row r="23" spans="1:31" ht="12" customHeight="1" x14ac:dyDescent="0.25">
      <c r="A23" s="74" t="s">
        <v>19</v>
      </c>
      <c r="B23" s="69">
        <v>100</v>
      </c>
      <c r="C23" s="26">
        <v>0.5</v>
      </c>
      <c r="D23" s="26">
        <v>0.15</v>
      </c>
      <c r="E23" s="26">
        <v>0.1</v>
      </c>
      <c r="F23" s="26">
        <v>0.1</v>
      </c>
      <c r="G23" s="26">
        <v>0.09</v>
      </c>
      <c r="H23" s="26">
        <v>0.28999999999999998</v>
      </c>
      <c r="I23" s="26">
        <v>0.22</v>
      </c>
      <c r="J23" s="26">
        <v>0.44</v>
      </c>
      <c r="K23" s="26">
        <v>0.49</v>
      </c>
      <c r="L23" s="26">
        <v>0.67</v>
      </c>
      <c r="M23" s="26">
        <v>0.46</v>
      </c>
      <c r="N23" s="26">
        <v>0.95</v>
      </c>
      <c r="O23" s="26">
        <v>0.53</v>
      </c>
      <c r="P23" s="26">
        <v>0.52</v>
      </c>
      <c r="Q23" s="26">
        <v>1.34</v>
      </c>
      <c r="R23" s="26">
        <v>1.27</v>
      </c>
      <c r="S23" s="26">
        <v>1.74</v>
      </c>
      <c r="T23" s="26">
        <v>2.69</v>
      </c>
      <c r="U23" s="26">
        <v>6.36</v>
      </c>
      <c r="V23" s="26">
        <v>13.58</v>
      </c>
      <c r="W23" s="26">
        <v>13.76</v>
      </c>
      <c r="X23" s="26">
        <v>10.36</v>
      </c>
      <c r="Y23" s="26">
        <v>17.559999999999999</v>
      </c>
      <c r="Z23" s="26">
        <v>20.41</v>
      </c>
      <c r="AA23" s="26">
        <v>4.1399999999999997</v>
      </c>
      <c r="AB23" s="26">
        <v>0.97</v>
      </c>
      <c r="AC23" s="26">
        <v>0.17</v>
      </c>
      <c r="AD23" s="26">
        <v>0.09</v>
      </c>
      <c r="AE23" s="26">
        <v>0.05</v>
      </c>
    </row>
    <row r="24" spans="1:31" s="4" customFormat="1" ht="22.5" customHeight="1" x14ac:dyDescent="0.25">
      <c r="A24" s="73" t="s">
        <v>111</v>
      </c>
      <c r="B24" s="40">
        <v>100</v>
      </c>
      <c r="C24" s="18">
        <v>0.9</v>
      </c>
      <c r="D24" s="18">
        <v>0.18</v>
      </c>
      <c r="E24" s="18">
        <v>0.2</v>
      </c>
      <c r="F24" s="18">
        <v>0.2</v>
      </c>
      <c r="G24" s="18">
        <v>0.23</v>
      </c>
      <c r="H24" s="18">
        <v>0.59</v>
      </c>
      <c r="I24" s="18">
        <v>0.47</v>
      </c>
      <c r="J24" s="18">
        <v>0.92</v>
      </c>
      <c r="K24" s="18">
        <v>0.52</v>
      </c>
      <c r="L24" s="18">
        <v>0.78</v>
      </c>
      <c r="M24" s="18">
        <v>0.64</v>
      </c>
      <c r="N24" s="18">
        <v>0.75</v>
      </c>
      <c r="O24" s="18">
        <v>0.98</v>
      </c>
      <c r="P24" s="18">
        <v>1.22</v>
      </c>
      <c r="Q24" s="18">
        <v>2.0699999999999998</v>
      </c>
      <c r="R24" s="18">
        <v>1.82</v>
      </c>
      <c r="S24" s="18">
        <v>2.48</v>
      </c>
      <c r="T24" s="18">
        <v>2.4300000000000002</v>
      </c>
      <c r="U24" s="18">
        <v>7.2</v>
      </c>
      <c r="V24" s="18">
        <v>12.26</v>
      </c>
      <c r="W24" s="18">
        <v>11.1</v>
      </c>
      <c r="X24" s="18">
        <v>10.18</v>
      </c>
      <c r="Y24" s="18">
        <v>19.71</v>
      </c>
      <c r="Z24" s="18">
        <v>18.829999999999998</v>
      </c>
      <c r="AA24" s="18">
        <v>2.77</v>
      </c>
      <c r="AB24" s="18">
        <v>0.43</v>
      </c>
      <c r="AC24" s="18">
        <v>7.0000000000000007E-2</v>
      </c>
      <c r="AD24" s="18">
        <v>0.03</v>
      </c>
      <c r="AE24" s="18">
        <v>0.01</v>
      </c>
    </row>
    <row r="25" spans="1:31" ht="12" customHeight="1" x14ac:dyDescent="0.25">
      <c r="A25" s="74" t="s">
        <v>20</v>
      </c>
      <c r="B25" s="69">
        <v>100</v>
      </c>
      <c r="C25" s="26" t="s">
        <v>189</v>
      </c>
      <c r="D25" s="26">
        <v>0.1</v>
      </c>
      <c r="E25" s="26">
        <v>0.1</v>
      </c>
      <c r="F25" s="26" t="s">
        <v>189</v>
      </c>
      <c r="G25" s="26">
        <v>0.1</v>
      </c>
      <c r="H25" s="26">
        <v>0.1</v>
      </c>
      <c r="I25" s="26" t="s">
        <v>189</v>
      </c>
      <c r="J25" s="26" t="s">
        <v>189</v>
      </c>
      <c r="K25" s="26">
        <v>0.1</v>
      </c>
      <c r="L25" s="26">
        <v>0.24</v>
      </c>
      <c r="M25" s="26">
        <v>0.39</v>
      </c>
      <c r="N25" s="26">
        <v>0.34</v>
      </c>
      <c r="O25" s="26">
        <v>0.1</v>
      </c>
      <c r="P25" s="26">
        <v>0.55000000000000004</v>
      </c>
      <c r="Q25" s="26">
        <v>1.08</v>
      </c>
      <c r="R25" s="26">
        <v>1.08</v>
      </c>
      <c r="S25" s="26">
        <v>2.57</v>
      </c>
      <c r="T25" s="26">
        <v>2.21</v>
      </c>
      <c r="U25" s="26">
        <v>8.35</v>
      </c>
      <c r="V25" s="26">
        <v>15.36</v>
      </c>
      <c r="W25" s="26">
        <v>8.2200000000000006</v>
      </c>
      <c r="X25" s="26">
        <v>11.27</v>
      </c>
      <c r="Y25" s="26">
        <v>28.3</v>
      </c>
      <c r="Z25" s="26">
        <v>17.79</v>
      </c>
      <c r="AA25" s="26">
        <v>1.37</v>
      </c>
      <c r="AB25" s="26">
        <v>0.18</v>
      </c>
      <c r="AC25" s="26" t="s">
        <v>189</v>
      </c>
      <c r="AD25" s="26">
        <v>0.08</v>
      </c>
      <c r="AE25" s="26" t="s">
        <v>189</v>
      </c>
    </row>
    <row r="26" spans="1:31" ht="12" customHeight="1" x14ac:dyDescent="0.25">
      <c r="A26" s="74" t="s">
        <v>21</v>
      </c>
      <c r="B26" s="69">
        <v>100</v>
      </c>
      <c r="C26" s="26">
        <v>0.67</v>
      </c>
      <c r="D26" s="26">
        <v>0.35</v>
      </c>
      <c r="E26" s="26">
        <v>0.46</v>
      </c>
      <c r="F26" s="26">
        <v>0.52</v>
      </c>
      <c r="G26" s="26">
        <v>0.2</v>
      </c>
      <c r="H26" s="26">
        <v>0.42</v>
      </c>
      <c r="I26" s="26">
        <v>0.6</v>
      </c>
      <c r="J26" s="26">
        <v>1.05</v>
      </c>
      <c r="K26" s="26">
        <v>0.34</v>
      </c>
      <c r="L26" s="26">
        <v>0.98</v>
      </c>
      <c r="M26" s="26">
        <v>1.37</v>
      </c>
      <c r="N26" s="26">
        <v>1.84</v>
      </c>
      <c r="O26" s="26">
        <v>3.27</v>
      </c>
      <c r="P26" s="26">
        <v>1.49</v>
      </c>
      <c r="Q26" s="26">
        <v>3.65</v>
      </c>
      <c r="R26" s="26">
        <v>3.35</v>
      </c>
      <c r="S26" s="26">
        <v>5.96</v>
      </c>
      <c r="T26" s="26">
        <v>5.37</v>
      </c>
      <c r="U26" s="26">
        <v>13.8</v>
      </c>
      <c r="V26" s="26">
        <v>11.38</v>
      </c>
      <c r="W26" s="26">
        <v>7.6</v>
      </c>
      <c r="X26" s="26">
        <v>7.04</v>
      </c>
      <c r="Y26" s="26">
        <v>18.36</v>
      </c>
      <c r="Z26" s="26">
        <v>8.69</v>
      </c>
      <c r="AA26" s="26">
        <v>0.96</v>
      </c>
      <c r="AB26" s="26">
        <v>0.26</v>
      </c>
      <c r="AC26" s="26" t="s">
        <v>189</v>
      </c>
      <c r="AD26" s="26" t="s">
        <v>189</v>
      </c>
      <c r="AE26" s="26">
        <v>0.03</v>
      </c>
    </row>
    <row r="27" spans="1:31" s="5" customFormat="1" ht="12" customHeight="1" x14ac:dyDescent="0.25">
      <c r="A27" s="75" t="s">
        <v>22</v>
      </c>
      <c r="B27" s="69">
        <v>100</v>
      </c>
      <c r="C27" s="26">
        <v>0.31</v>
      </c>
      <c r="D27" s="26">
        <v>0.38</v>
      </c>
      <c r="E27" s="26">
        <v>0.21</v>
      </c>
      <c r="F27" s="26">
        <v>0.18</v>
      </c>
      <c r="G27" s="26">
        <v>0.17</v>
      </c>
      <c r="H27" s="26">
        <v>0.16</v>
      </c>
      <c r="I27" s="26">
        <v>0.23</v>
      </c>
      <c r="J27" s="26">
        <v>0.4</v>
      </c>
      <c r="K27" s="26">
        <v>0.46</v>
      </c>
      <c r="L27" s="26">
        <v>0.2</v>
      </c>
      <c r="M27" s="26">
        <v>0.34</v>
      </c>
      <c r="N27" s="26">
        <v>0.6</v>
      </c>
      <c r="O27" s="26">
        <v>0.59</v>
      </c>
      <c r="P27" s="26">
        <v>0.4</v>
      </c>
      <c r="Q27" s="26">
        <v>0.8</v>
      </c>
      <c r="R27" s="26">
        <v>1.39</v>
      </c>
      <c r="S27" s="26">
        <v>2.25</v>
      </c>
      <c r="T27" s="26">
        <v>1.93</v>
      </c>
      <c r="U27" s="26">
        <v>6.79</v>
      </c>
      <c r="V27" s="26">
        <v>11.35</v>
      </c>
      <c r="W27" s="26">
        <v>11.58</v>
      </c>
      <c r="X27" s="26">
        <v>10.14</v>
      </c>
      <c r="Y27" s="26">
        <v>21.76</v>
      </c>
      <c r="Z27" s="26">
        <v>24.57</v>
      </c>
      <c r="AA27" s="26">
        <v>2.5099999999999998</v>
      </c>
      <c r="AB27" s="26">
        <v>0.3</v>
      </c>
      <c r="AC27" s="26" t="s">
        <v>189</v>
      </c>
      <c r="AD27" s="26" t="s">
        <v>189</v>
      </c>
      <c r="AE27" s="26" t="s">
        <v>189</v>
      </c>
    </row>
    <row r="28" spans="1:31" ht="12" customHeight="1" x14ac:dyDescent="0.25">
      <c r="A28" s="76" t="s">
        <v>63</v>
      </c>
      <c r="B28" s="6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ht="12" customHeight="1" x14ac:dyDescent="0.25">
      <c r="A29" s="77" t="s">
        <v>24</v>
      </c>
      <c r="B29" s="69">
        <v>100</v>
      </c>
      <c r="C29" s="26">
        <v>0.26</v>
      </c>
      <c r="D29" s="26">
        <v>0.78</v>
      </c>
      <c r="E29" s="26">
        <v>0.09</v>
      </c>
      <c r="F29" s="26">
        <v>0.43</v>
      </c>
      <c r="G29" s="26" t="s">
        <v>189</v>
      </c>
      <c r="H29" s="26">
        <v>0.09</v>
      </c>
      <c r="I29" s="26">
        <v>0.17</v>
      </c>
      <c r="J29" s="26">
        <v>0.78</v>
      </c>
      <c r="K29" s="26">
        <v>0.95</v>
      </c>
      <c r="L29" s="26">
        <v>0.17</v>
      </c>
      <c r="M29" s="26">
        <v>0.43</v>
      </c>
      <c r="N29" s="26">
        <v>0.52</v>
      </c>
      <c r="O29" s="26">
        <v>0.52</v>
      </c>
      <c r="P29" s="26">
        <v>0.52</v>
      </c>
      <c r="Q29" s="26">
        <v>0.6</v>
      </c>
      <c r="R29" s="26">
        <v>1.17</v>
      </c>
      <c r="S29" s="26">
        <v>2.25</v>
      </c>
      <c r="T29" s="26">
        <v>1.81</v>
      </c>
      <c r="U29" s="26">
        <v>7.99</v>
      </c>
      <c r="V29" s="26">
        <v>10.24</v>
      </c>
      <c r="W29" s="26">
        <v>9.7799999999999994</v>
      </c>
      <c r="X29" s="26">
        <v>6.65</v>
      </c>
      <c r="Y29" s="26">
        <v>18.96</v>
      </c>
      <c r="Z29" s="26">
        <v>31.58</v>
      </c>
      <c r="AA29" s="26">
        <v>3</v>
      </c>
      <c r="AB29" s="26">
        <v>0.26</v>
      </c>
      <c r="AC29" s="26" t="s">
        <v>189</v>
      </c>
      <c r="AD29" s="26" t="s">
        <v>189</v>
      </c>
      <c r="AE29" s="26" t="s">
        <v>189</v>
      </c>
    </row>
    <row r="30" spans="1:31" ht="20.25" x14ac:dyDescent="0.25">
      <c r="A30" s="77" t="s">
        <v>87</v>
      </c>
      <c r="B30" s="69">
        <v>100</v>
      </c>
      <c r="C30" s="26">
        <v>0.33</v>
      </c>
      <c r="D30" s="26">
        <v>0.19</v>
      </c>
      <c r="E30" s="26">
        <v>0.27</v>
      </c>
      <c r="F30" s="26">
        <v>7.0000000000000007E-2</v>
      </c>
      <c r="G30" s="26">
        <v>0.24</v>
      </c>
      <c r="H30" s="26">
        <v>0.2</v>
      </c>
      <c r="I30" s="26">
        <v>0.26</v>
      </c>
      <c r="J30" s="26">
        <v>0.22</v>
      </c>
      <c r="K30" s="26">
        <v>0.23</v>
      </c>
      <c r="L30" s="26">
        <v>0.21</v>
      </c>
      <c r="M30" s="26">
        <v>0.3</v>
      </c>
      <c r="N30" s="26">
        <v>0.63</v>
      </c>
      <c r="O30" s="26">
        <v>0.63</v>
      </c>
      <c r="P30" s="26">
        <v>0.34</v>
      </c>
      <c r="Q30" s="26">
        <v>0.89</v>
      </c>
      <c r="R30" s="26">
        <v>1.5</v>
      </c>
      <c r="S30" s="26">
        <v>2.25</v>
      </c>
      <c r="T30" s="26">
        <v>1.99</v>
      </c>
      <c r="U30" s="26">
        <v>6.22</v>
      </c>
      <c r="V30" s="26">
        <v>11.88</v>
      </c>
      <c r="W30" s="26">
        <v>12.43</v>
      </c>
      <c r="X30" s="26">
        <v>11.81</v>
      </c>
      <c r="Y30" s="26">
        <v>23.1</v>
      </c>
      <c r="Z30" s="26">
        <v>21.22</v>
      </c>
      <c r="AA30" s="26">
        <v>2.27</v>
      </c>
      <c r="AB30" s="26">
        <v>0.32</v>
      </c>
      <c r="AC30" s="26" t="s">
        <v>189</v>
      </c>
      <c r="AD30" s="26" t="s">
        <v>189</v>
      </c>
      <c r="AE30" s="26" t="s">
        <v>189</v>
      </c>
    </row>
    <row r="31" spans="1:31" ht="12" customHeight="1" x14ac:dyDescent="0.25">
      <c r="A31" s="74" t="s">
        <v>25</v>
      </c>
      <c r="B31" s="69">
        <v>100</v>
      </c>
      <c r="C31" s="26">
        <v>2.08</v>
      </c>
      <c r="D31" s="26">
        <v>0.06</v>
      </c>
      <c r="E31" s="26">
        <v>0.2</v>
      </c>
      <c r="F31" s="26">
        <v>0.25</v>
      </c>
      <c r="G31" s="26">
        <v>0.42</v>
      </c>
      <c r="H31" s="26">
        <v>4.3499999999999996</v>
      </c>
      <c r="I31" s="26">
        <v>1.07</v>
      </c>
      <c r="J31" s="26">
        <v>0.54</v>
      </c>
      <c r="K31" s="26">
        <v>1.79</v>
      </c>
      <c r="L31" s="26">
        <v>2.36</v>
      </c>
      <c r="M31" s="26">
        <v>0.69</v>
      </c>
      <c r="N31" s="26">
        <v>0.63</v>
      </c>
      <c r="O31" s="26">
        <v>0.59</v>
      </c>
      <c r="P31" s="26">
        <v>0.65</v>
      </c>
      <c r="Q31" s="26">
        <v>2.14</v>
      </c>
      <c r="R31" s="26">
        <v>2.46</v>
      </c>
      <c r="S31" s="26">
        <v>2.87</v>
      </c>
      <c r="T31" s="26">
        <v>3.76</v>
      </c>
      <c r="U31" s="26">
        <v>7.23</v>
      </c>
      <c r="V31" s="26">
        <v>10.02</v>
      </c>
      <c r="W31" s="26">
        <v>9.24</v>
      </c>
      <c r="X31" s="26">
        <v>9.81</v>
      </c>
      <c r="Y31" s="26">
        <v>19.43</v>
      </c>
      <c r="Z31" s="26">
        <v>16.57</v>
      </c>
      <c r="AA31" s="26">
        <v>0.72</v>
      </c>
      <c r="AB31" s="26">
        <v>0.03</v>
      </c>
      <c r="AC31" s="26">
        <v>0.03</v>
      </c>
      <c r="AD31" s="26">
        <v>0.03</v>
      </c>
      <c r="AE31" s="26" t="s">
        <v>189</v>
      </c>
    </row>
    <row r="32" spans="1:31" ht="12" customHeight="1" x14ac:dyDescent="0.25">
      <c r="A32" s="74" t="s">
        <v>26</v>
      </c>
      <c r="B32" s="69">
        <v>100</v>
      </c>
      <c r="C32" s="26">
        <v>2.85</v>
      </c>
      <c r="D32" s="26">
        <v>0.43</v>
      </c>
      <c r="E32" s="26">
        <v>1.33</v>
      </c>
      <c r="F32" s="26">
        <v>0.92</v>
      </c>
      <c r="G32" s="26">
        <v>0.45</v>
      </c>
      <c r="H32" s="26">
        <v>1.1499999999999999</v>
      </c>
      <c r="I32" s="26">
        <v>4.72</v>
      </c>
      <c r="J32" s="26">
        <v>2.56</v>
      </c>
      <c r="K32" s="26">
        <v>1.49</v>
      </c>
      <c r="L32" s="26">
        <v>0.33</v>
      </c>
      <c r="M32" s="26">
        <v>2.92</v>
      </c>
      <c r="N32" s="26">
        <v>0.89</v>
      </c>
      <c r="O32" s="26">
        <v>2.65</v>
      </c>
      <c r="P32" s="26">
        <v>1.45</v>
      </c>
      <c r="Q32" s="26">
        <v>4.59</v>
      </c>
      <c r="R32" s="26">
        <v>2.4500000000000002</v>
      </c>
      <c r="S32" s="26">
        <v>2.4</v>
      </c>
      <c r="T32" s="26">
        <v>2.38</v>
      </c>
      <c r="U32" s="26">
        <v>10.29</v>
      </c>
      <c r="V32" s="26">
        <v>10.8</v>
      </c>
      <c r="W32" s="26">
        <v>11.04</v>
      </c>
      <c r="X32" s="26">
        <v>9.69</v>
      </c>
      <c r="Y32" s="26">
        <v>11.91</v>
      </c>
      <c r="Z32" s="26">
        <v>9.3000000000000007</v>
      </c>
      <c r="AA32" s="26">
        <v>0.76</v>
      </c>
      <c r="AB32" s="26">
        <v>0.25</v>
      </c>
      <c r="AC32" s="26" t="s">
        <v>189</v>
      </c>
      <c r="AD32" s="26" t="s">
        <v>189</v>
      </c>
      <c r="AE32" s="26" t="s">
        <v>189</v>
      </c>
    </row>
    <row r="33" spans="1:31" ht="12" customHeight="1" x14ac:dyDescent="0.25">
      <c r="A33" s="74" t="s">
        <v>27</v>
      </c>
      <c r="B33" s="69">
        <v>100</v>
      </c>
      <c r="C33" s="26">
        <v>0.73</v>
      </c>
      <c r="D33" s="26">
        <v>0.09</v>
      </c>
      <c r="E33" s="26">
        <v>0.08</v>
      </c>
      <c r="F33" s="26">
        <v>0.13</v>
      </c>
      <c r="G33" s="26">
        <v>0.35</v>
      </c>
      <c r="H33" s="26">
        <v>0.19</v>
      </c>
      <c r="I33" s="26">
        <v>0.56999999999999995</v>
      </c>
      <c r="J33" s="26">
        <v>1.43</v>
      </c>
      <c r="K33" s="26">
        <v>0.36</v>
      </c>
      <c r="L33" s="26">
        <v>1.52</v>
      </c>
      <c r="M33" s="26">
        <v>0.56000000000000005</v>
      </c>
      <c r="N33" s="26">
        <v>1.55</v>
      </c>
      <c r="O33" s="26">
        <v>1.1299999999999999</v>
      </c>
      <c r="P33" s="26">
        <v>2.37</v>
      </c>
      <c r="Q33" s="26">
        <v>2.56</v>
      </c>
      <c r="R33" s="26">
        <v>2.38</v>
      </c>
      <c r="S33" s="26">
        <v>2.17</v>
      </c>
      <c r="T33" s="26">
        <v>1.81</v>
      </c>
      <c r="U33" s="26">
        <v>5.0599999999999996</v>
      </c>
      <c r="V33" s="26">
        <v>8.93</v>
      </c>
      <c r="W33" s="26">
        <v>8.36</v>
      </c>
      <c r="X33" s="26">
        <v>8.65</v>
      </c>
      <c r="Y33" s="26">
        <v>27.31</v>
      </c>
      <c r="Z33" s="26">
        <v>19.329999999999998</v>
      </c>
      <c r="AA33" s="26">
        <v>2.02</v>
      </c>
      <c r="AB33" s="26">
        <v>0.34</v>
      </c>
      <c r="AC33" s="26">
        <v>0.03</v>
      </c>
      <c r="AD33" s="26" t="s">
        <v>189</v>
      </c>
      <c r="AE33" s="26" t="s">
        <v>189</v>
      </c>
    </row>
    <row r="34" spans="1:31" ht="12" customHeight="1" x14ac:dyDescent="0.25">
      <c r="A34" s="74" t="s">
        <v>28</v>
      </c>
      <c r="B34" s="69">
        <v>100</v>
      </c>
      <c r="C34" s="26" t="s">
        <v>189</v>
      </c>
      <c r="D34" s="26" t="s">
        <v>189</v>
      </c>
      <c r="E34" s="26">
        <v>0.04</v>
      </c>
      <c r="F34" s="26" t="s">
        <v>189</v>
      </c>
      <c r="G34" s="26" t="s">
        <v>189</v>
      </c>
      <c r="H34" s="26" t="s">
        <v>189</v>
      </c>
      <c r="I34" s="26" t="s">
        <v>189</v>
      </c>
      <c r="J34" s="26" t="s">
        <v>189</v>
      </c>
      <c r="K34" s="26" t="s">
        <v>189</v>
      </c>
      <c r="L34" s="26" t="s">
        <v>189</v>
      </c>
      <c r="M34" s="26" t="s">
        <v>189</v>
      </c>
      <c r="N34" s="26">
        <v>0.06</v>
      </c>
      <c r="O34" s="26">
        <v>0.03</v>
      </c>
      <c r="P34" s="26">
        <v>0.39</v>
      </c>
      <c r="Q34" s="26">
        <v>1.76</v>
      </c>
      <c r="R34" s="26">
        <v>2.4300000000000002</v>
      </c>
      <c r="S34" s="26">
        <v>1.81</v>
      </c>
      <c r="T34" s="26">
        <v>1.93</v>
      </c>
      <c r="U34" s="26">
        <v>9.0399999999999991</v>
      </c>
      <c r="V34" s="26">
        <v>12.06</v>
      </c>
      <c r="W34" s="26">
        <v>12.05</v>
      </c>
      <c r="X34" s="26">
        <v>10.31</v>
      </c>
      <c r="Y34" s="26">
        <v>16.37</v>
      </c>
      <c r="Z34" s="26">
        <v>26.41</v>
      </c>
      <c r="AA34" s="26">
        <v>4.83</v>
      </c>
      <c r="AB34" s="26">
        <v>0.47</v>
      </c>
      <c r="AC34" s="26" t="s">
        <v>189</v>
      </c>
      <c r="AD34" s="26" t="s">
        <v>189</v>
      </c>
      <c r="AE34" s="26" t="s">
        <v>189</v>
      </c>
    </row>
    <row r="35" spans="1:31" ht="12" customHeight="1" x14ac:dyDescent="0.25">
      <c r="A35" s="74" t="s">
        <v>29</v>
      </c>
      <c r="B35" s="69">
        <v>100</v>
      </c>
      <c r="C35" s="26">
        <v>2.0299999999999998</v>
      </c>
      <c r="D35" s="26">
        <v>1.38</v>
      </c>
      <c r="E35" s="26">
        <v>1.33</v>
      </c>
      <c r="F35" s="26">
        <v>0.87</v>
      </c>
      <c r="G35" s="26">
        <v>0.73</v>
      </c>
      <c r="H35" s="26">
        <v>0.94</v>
      </c>
      <c r="I35" s="26">
        <v>0.87</v>
      </c>
      <c r="J35" s="26">
        <v>1.25</v>
      </c>
      <c r="K35" s="26">
        <v>1.1599999999999999</v>
      </c>
      <c r="L35" s="26">
        <v>0.5</v>
      </c>
      <c r="M35" s="26">
        <v>1.3</v>
      </c>
      <c r="N35" s="26">
        <v>1.36</v>
      </c>
      <c r="O35" s="26">
        <v>0.71</v>
      </c>
      <c r="P35" s="26">
        <v>1.33</v>
      </c>
      <c r="Q35" s="26">
        <v>3.13</v>
      </c>
      <c r="R35" s="26">
        <v>3.62</v>
      </c>
      <c r="S35" s="26">
        <v>5.0599999999999996</v>
      </c>
      <c r="T35" s="26">
        <v>7.22</v>
      </c>
      <c r="U35" s="26">
        <v>22.14</v>
      </c>
      <c r="V35" s="26">
        <v>19.600000000000001</v>
      </c>
      <c r="W35" s="26">
        <v>12.08</v>
      </c>
      <c r="X35" s="26">
        <v>5.3</v>
      </c>
      <c r="Y35" s="26">
        <v>3.48</v>
      </c>
      <c r="Z35" s="26">
        <v>1.84</v>
      </c>
      <c r="AA35" s="26">
        <v>0.26</v>
      </c>
      <c r="AB35" s="26">
        <v>0.5</v>
      </c>
      <c r="AC35" s="66" t="s">
        <v>189</v>
      </c>
      <c r="AD35" s="26" t="s">
        <v>189</v>
      </c>
      <c r="AE35" s="26" t="s">
        <v>189</v>
      </c>
    </row>
    <row r="36" spans="1:31" ht="12" customHeight="1" x14ac:dyDescent="0.25">
      <c r="A36" s="74" t="s">
        <v>30</v>
      </c>
      <c r="B36" s="69">
        <v>100</v>
      </c>
      <c r="C36" s="26">
        <v>1.64</v>
      </c>
      <c r="D36" s="26">
        <v>1.33</v>
      </c>
      <c r="E36" s="26">
        <v>1.06</v>
      </c>
      <c r="F36" s="26">
        <v>0.97</v>
      </c>
      <c r="G36" s="26">
        <v>0.43</v>
      </c>
      <c r="H36" s="26">
        <v>1.46</v>
      </c>
      <c r="I36" s="26">
        <v>1.77</v>
      </c>
      <c r="J36" s="26">
        <v>1.47</v>
      </c>
      <c r="K36" s="26">
        <v>1.19</v>
      </c>
      <c r="L36" s="26">
        <v>2.15</v>
      </c>
      <c r="M36" s="26">
        <v>3.2</v>
      </c>
      <c r="N36" s="26">
        <v>1.87</v>
      </c>
      <c r="O36" s="26">
        <v>2.92</v>
      </c>
      <c r="P36" s="26">
        <v>1.74</v>
      </c>
      <c r="Q36" s="26">
        <v>5.04</v>
      </c>
      <c r="R36" s="26">
        <v>3.98</v>
      </c>
      <c r="S36" s="26">
        <v>4.51</v>
      </c>
      <c r="T36" s="26">
        <v>4.97</v>
      </c>
      <c r="U36" s="26">
        <v>13.84</v>
      </c>
      <c r="V36" s="26">
        <v>19.25</v>
      </c>
      <c r="W36" s="26">
        <v>10.41</v>
      </c>
      <c r="X36" s="26">
        <v>4.97</v>
      </c>
      <c r="Y36" s="26">
        <v>5.63</v>
      </c>
      <c r="Z36" s="26">
        <v>3.12</v>
      </c>
      <c r="AA36" s="26">
        <v>1.08</v>
      </c>
      <c r="AB36" s="26" t="s">
        <v>189</v>
      </c>
      <c r="AC36" s="26" t="s">
        <v>189</v>
      </c>
      <c r="AD36" s="26" t="s">
        <v>189</v>
      </c>
      <c r="AE36" s="26" t="s">
        <v>189</v>
      </c>
    </row>
    <row r="37" spans="1:31" ht="12" customHeight="1" x14ac:dyDescent="0.25">
      <c r="A37" s="74" t="s">
        <v>31</v>
      </c>
      <c r="B37" s="69">
        <v>100</v>
      </c>
      <c r="C37" s="26">
        <v>0.97</v>
      </c>
      <c r="D37" s="26">
        <v>0.18</v>
      </c>
      <c r="E37" s="26">
        <v>0.14000000000000001</v>
      </c>
      <c r="F37" s="26">
        <v>0.17</v>
      </c>
      <c r="G37" s="26">
        <v>0.19</v>
      </c>
      <c r="H37" s="26">
        <v>0.32</v>
      </c>
      <c r="I37" s="26">
        <v>0.23</v>
      </c>
      <c r="J37" s="26">
        <v>1</v>
      </c>
      <c r="K37" s="26">
        <v>0.48</v>
      </c>
      <c r="L37" s="26">
        <v>0.51</v>
      </c>
      <c r="M37" s="26">
        <v>0.6</v>
      </c>
      <c r="N37" s="26">
        <v>0.51</v>
      </c>
      <c r="O37" s="26">
        <v>0.92</v>
      </c>
      <c r="P37" s="26">
        <v>1.1399999999999999</v>
      </c>
      <c r="Q37" s="26">
        <v>1.68</v>
      </c>
      <c r="R37" s="26">
        <v>1.08</v>
      </c>
      <c r="S37" s="26">
        <v>2.21</v>
      </c>
      <c r="T37" s="26">
        <v>2.1</v>
      </c>
      <c r="U37" s="26">
        <v>5.99</v>
      </c>
      <c r="V37" s="26">
        <v>13.77</v>
      </c>
      <c r="W37" s="26">
        <v>12.64</v>
      </c>
      <c r="X37" s="26">
        <v>11.4</v>
      </c>
      <c r="Y37" s="26">
        <v>18.64</v>
      </c>
      <c r="Z37" s="26">
        <v>19.010000000000002</v>
      </c>
      <c r="AA37" s="26">
        <v>3.31</v>
      </c>
      <c r="AB37" s="26">
        <v>0.57999999999999996</v>
      </c>
      <c r="AC37" s="26">
        <v>0.14000000000000001</v>
      </c>
      <c r="AD37" s="26">
        <v>0.06</v>
      </c>
      <c r="AE37" s="26">
        <v>0.01</v>
      </c>
    </row>
    <row r="38" spans="1:31" s="4" customFormat="1" ht="21.75" customHeight="1" x14ac:dyDescent="0.25">
      <c r="A38" s="73" t="s">
        <v>112</v>
      </c>
      <c r="B38" s="40">
        <v>100</v>
      </c>
      <c r="C38" s="18">
        <v>1.49</v>
      </c>
      <c r="D38" s="18">
        <v>0.95</v>
      </c>
      <c r="E38" s="18">
        <v>1.38</v>
      </c>
      <c r="F38" s="18">
        <v>1.54</v>
      </c>
      <c r="G38" s="18">
        <v>0.62</v>
      </c>
      <c r="H38" s="18">
        <v>1.49</v>
      </c>
      <c r="I38" s="18">
        <v>1.86</v>
      </c>
      <c r="J38" s="18">
        <v>1.9</v>
      </c>
      <c r="K38" s="18">
        <v>1.95</v>
      </c>
      <c r="L38" s="18">
        <v>2.04</v>
      </c>
      <c r="M38" s="18">
        <v>1.9</v>
      </c>
      <c r="N38" s="18">
        <v>2.0299999999999998</v>
      </c>
      <c r="O38" s="18">
        <v>2.3199999999999998</v>
      </c>
      <c r="P38" s="18">
        <v>2.44</v>
      </c>
      <c r="Q38" s="18">
        <v>4.58</v>
      </c>
      <c r="R38" s="18">
        <v>4.99</v>
      </c>
      <c r="S38" s="18">
        <v>6.06</v>
      </c>
      <c r="T38" s="18">
        <v>5.24</v>
      </c>
      <c r="U38" s="18">
        <v>9.56</v>
      </c>
      <c r="V38" s="18">
        <v>12.5</v>
      </c>
      <c r="W38" s="18">
        <v>9.5500000000000007</v>
      </c>
      <c r="X38" s="18">
        <v>6.94</v>
      </c>
      <c r="Y38" s="18">
        <v>9.2100000000000009</v>
      </c>
      <c r="Z38" s="18">
        <v>6.51</v>
      </c>
      <c r="AA38" s="18">
        <v>0.83</v>
      </c>
      <c r="AB38" s="18">
        <v>0.12</v>
      </c>
      <c r="AC38" s="18">
        <v>0.01</v>
      </c>
      <c r="AD38" s="18">
        <v>0</v>
      </c>
      <c r="AE38" s="18" t="s">
        <v>189</v>
      </c>
    </row>
    <row r="39" spans="1:31" s="5" customFormat="1" ht="12" customHeight="1" x14ac:dyDescent="0.25">
      <c r="A39" s="75" t="s">
        <v>89</v>
      </c>
      <c r="B39" s="69">
        <v>100</v>
      </c>
      <c r="C39" s="26">
        <v>0.98</v>
      </c>
      <c r="D39" s="26">
        <v>1.3</v>
      </c>
      <c r="E39" s="26">
        <v>1.19</v>
      </c>
      <c r="F39" s="26">
        <v>0.49</v>
      </c>
      <c r="G39" s="26">
        <v>1.97</v>
      </c>
      <c r="H39" s="26">
        <v>1.86</v>
      </c>
      <c r="I39" s="26">
        <v>2.0699999999999998</v>
      </c>
      <c r="J39" s="26">
        <v>1.72</v>
      </c>
      <c r="K39" s="26">
        <v>2.11</v>
      </c>
      <c r="L39" s="26">
        <v>1.97</v>
      </c>
      <c r="M39" s="26">
        <v>2.35</v>
      </c>
      <c r="N39" s="26">
        <v>3.09</v>
      </c>
      <c r="O39" s="26">
        <v>2.14</v>
      </c>
      <c r="P39" s="26">
        <v>2.81</v>
      </c>
      <c r="Q39" s="26">
        <v>7.13</v>
      </c>
      <c r="R39" s="26">
        <v>3.83</v>
      </c>
      <c r="S39" s="26">
        <v>12</v>
      </c>
      <c r="T39" s="26">
        <v>5.19</v>
      </c>
      <c r="U39" s="26">
        <v>8.35</v>
      </c>
      <c r="V39" s="26">
        <v>9.93</v>
      </c>
      <c r="W39" s="26">
        <v>13.41</v>
      </c>
      <c r="X39" s="26">
        <v>7.76</v>
      </c>
      <c r="Y39" s="26">
        <v>4.1399999999999997</v>
      </c>
      <c r="Z39" s="26">
        <v>1.79</v>
      </c>
      <c r="AA39" s="26">
        <v>0.21</v>
      </c>
      <c r="AB39" s="26">
        <v>0.21</v>
      </c>
      <c r="AC39" s="26" t="s">
        <v>189</v>
      </c>
      <c r="AD39" s="26" t="s">
        <v>189</v>
      </c>
      <c r="AE39" s="26" t="s">
        <v>189</v>
      </c>
    </row>
    <row r="40" spans="1:31" ht="12" customHeight="1" x14ac:dyDescent="0.25">
      <c r="A40" s="74" t="s">
        <v>33</v>
      </c>
      <c r="B40" s="70">
        <v>100</v>
      </c>
      <c r="C40" s="26">
        <v>1.29</v>
      </c>
      <c r="D40" s="26">
        <v>1.2</v>
      </c>
      <c r="E40" s="26">
        <v>20.100000000000001</v>
      </c>
      <c r="F40" s="26">
        <v>3.97</v>
      </c>
      <c r="G40" s="26">
        <v>0.55000000000000004</v>
      </c>
      <c r="H40" s="26">
        <v>3.87</v>
      </c>
      <c r="I40" s="26">
        <v>2.77</v>
      </c>
      <c r="J40" s="26">
        <v>1.1100000000000001</v>
      </c>
      <c r="K40" s="26">
        <v>2.31</v>
      </c>
      <c r="L40" s="26">
        <v>1.1100000000000001</v>
      </c>
      <c r="M40" s="26">
        <v>2.77</v>
      </c>
      <c r="N40" s="26">
        <v>1.1100000000000001</v>
      </c>
      <c r="O40" s="26">
        <v>4.42</v>
      </c>
      <c r="P40" s="26">
        <v>0.55000000000000004</v>
      </c>
      <c r="Q40" s="26">
        <v>2.21</v>
      </c>
      <c r="R40" s="26">
        <v>6.18</v>
      </c>
      <c r="S40" s="26">
        <v>9.68</v>
      </c>
      <c r="T40" s="26">
        <v>7.47</v>
      </c>
      <c r="U40" s="26">
        <v>9.0500000000000007</v>
      </c>
      <c r="V40" s="26">
        <v>7.94</v>
      </c>
      <c r="W40" s="26">
        <v>3.79</v>
      </c>
      <c r="X40" s="26">
        <v>1.75</v>
      </c>
      <c r="Y40" s="26">
        <v>4.8</v>
      </c>
      <c r="Z40" s="26" t="s">
        <v>189</v>
      </c>
      <c r="AA40" s="26" t="s">
        <v>189</v>
      </c>
      <c r="AB40" s="26" t="s">
        <v>189</v>
      </c>
      <c r="AC40" s="26" t="s">
        <v>189</v>
      </c>
      <c r="AD40" s="26" t="s">
        <v>189</v>
      </c>
      <c r="AE40" s="26" t="s">
        <v>189</v>
      </c>
    </row>
    <row r="41" spans="1:31" ht="12" customHeight="1" x14ac:dyDescent="0.25">
      <c r="A41" s="74" t="s">
        <v>119</v>
      </c>
      <c r="B41" s="69">
        <v>100</v>
      </c>
      <c r="C41" s="26">
        <v>3.07</v>
      </c>
      <c r="D41" s="26">
        <v>1.24</v>
      </c>
      <c r="E41" s="26">
        <v>0.62</v>
      </c>
      <c r="F41" s="26">
        <v>2.35</v>
      </c>
      <c r="G41" s="26">
        <v>0.76</v>
      </c>
      <c r="H41" s="26">
        <v>1.58</v>
      </c>
      <c r="I41" s="26">
        <v>0.9</v>
      </c>
      <c r="J41" s="26">
        <v>1.2</v>
      </c>
      <c r="K41" s="26">
        <v>1.24</v>
      </c>
      <c r="L41" s="26">
        <v>1.43</v>
      </c>
      <c r="M41" s="26">
        <v>0.9</v>
      </c>
      <c r="N41" s="26">
        <v>1.1299999999999999</v>
      </c>
      <c r="O41" s="26">
        <v>1</v>
      </c>
      <c r="P41" s="26">
        <v>1.56</v>
      </c>
      <c r="Q41" s="26">
        <v>2.4300000000000002</v>
      </c>
      <c r="R41" s="26">
        <v>3.49</v>
      </c>
      <c r="S41" s="26">
        <v>3.61</v>
      </c>
      <c r="T41" s="26">
        <v>2.84</v>
      </c>
      <c r="U41" s="26">
        <v>6.91</v>
      </c>
      <c r="V41" s="26">
        <v>9.83</v>
      </c>
      <c r="W41" s="26">
        <v>7.9</v>
      </c>
      <c r="X41" s="26">
        <v>8.4</v>
      </c>
      <c r="Y41" s="26">
        <v>16.96</v>
      </c>
      <c r="Z41" s="26">
        <v>15.67</v>
      </c>
      <c r="AA41" s="26">
        <v>2.81</v>
      </c>
      <c r="AB41" s="26">
        <v>0.15</v>
      </c>
      <c r="AC41" s="26" t="s">
        <v>189</v>
      </c>
      <c r="AD41" s="26" t="s">
        <v>189</v>
      </c>
      <c r="AE41" s="26" t="s">
        <v>189</v>
      </c>
    </row>
    <row r="42" spans="1:31" ht="12" customHeight="1" x14ac:dyDescent="0.25">
      <c r="A42" s="74" t="s">
        <v>34</v>
      </c>
      <c r="B42" s="69">
        <v>100</v>
      </c>
      <c r="C42" s="26">
        <v>1.25</v>
      </c>
      <c r="D42" s="26">
        <v>0.97</v>
      </c>
      <c r="E42" s="26">
        <v>1.95</v>
      </c>
      <c r="F42" s="26">
        <v>1.06</v>
      </c>
      <c r="G42" s="26">
        <v>0.53</v>
      </c>
      <c r="H42" s="26">
        <v>1.46</v>
      </c>
      <c r="I42" s="26">
        <v>1.74</v>
      </c>
      <c r="J42" s="26">
        <v>1.88</v>
      </c>
      <c r="K42" s="26">
        <v>2.35</v>
      </c>
      <c r="L42" s="26">
        <v>2.17</v>
      </c>
      <c r="M42" s="26">
        <v>2.0699999999999998</v>
      </c>
      <c r="N42" s="26">
        <v>1.84</v>
      </c>
      <c r="O42" s="26">
        <v>2.72</v>
      </c>
      <c r="P42" s="26">
        <v>2.67</v>
      </c>
      <c r="Q42" s="26">
        <v>4.5199999999999996</v>
      </c>
      <c r="R42" s="26">
        <v>5.16</v>
      </c>
      <c r="S42" s="26">
        <v>6.27</v>
      </c>
      <c r="T42" s="26">
        <v>5.66</v>
      </c>
      <c r="U42" s="26">
        <v>9.4600000000000009</v>
      </c>
      <c r="V42" s="26">
        <v>11.79</v>
      </c>
      <c r="W42" s="26">
        <v>10.44</v>
      </c>
      <c r="X42" s="26">
        <v>7.46</v>
      </c>
      <c r="Y42" s="26">
        <v>8.98</v>
      </c>
      <c r="Z42" s="26">
        <v>4.9400000000000004</v>
      </c>
      <c r="AA42" s="26">
        <v>0.57999999999999996</v>
      </c>
      <c r="AB42" s="26">
        <v>0.04</v>
      </c>
      <c r="AC42" s="26">
        <v>0.02</v>
      </c>
      <c r="AD42" s="26">
        <v>0.01</v>
      </c>
      <c r="AE42" s="26" t="s">
        <v>189</v>
      </c>
    </row>
    <row r="43" spans="1:31" ht="12" customHeight="1" x14ac:dyDescent="0.25">
      <c r="A43" s="74" t="s">
        <v>35</v>
      </c>
      <c r="B43" s="69">
        <v>100</v>
      </c>
      <c r="C43" s="26">
        <v>2.41</v>
      </c>
      <c r="D43" s="26">
        <v>1.1200000000000001</v>
      </c>
      <c r="E43" s="26">
        <v>0.43</v>
      </c>
      <c r="F43" s="26">
        <v>0.81</v>
      </c>
      <c r="G43" s="26">
        <v>0.24</v>
      </c>
      <c r="H43" s="26">
        <v>1.26</v>
      </c>
      <c r="I43" s="26">
        <v>1.58</v>
      </c>
      <c r="J43" s="26">
        <v>1.62</v>
      </c>
      <c r="K43" s="26">
        <v>1.0900000000000001</v>
      </c>
      <c r="L43" s="26">
        <v>0.77</v>
      </c>
      <c r="M43" s="26">
        <v>0.95</v>
      </c>
      <c r="N43" s="26">
        <v>1.44</v>
      </c>
      <c r="O43" s="26">
        <v>1.24</v>
      </c>
      <c r="P43" s="26">
        <v>1.03</v>
      </c>
      <c r="Q43" s="26">
        <v>3.79</v>
      </c>
      <c r="R43" s="26">
        <v>2.15</v>
      </c>
      <c r="S43" s="26">
        <v>3.31</v>
      </c>
      <c r="T43" s="26">
        <v>2.76</v>
      </c>
      <c r="U43" s="26">
        <v>6.2</v>
      </c>
      <c r="V43" s="26">
        <v>8.4499999999999993</v>
      </c>
      <c r="W43" s="26">
        <v>10.89</v>
      </c>
      <c r="X43" s="26">
        <v>12.13</v>
      </c>
      <c r="Y43" s="26">
        <v>20.6</v>
      </c>
      <c r="Z43" s="26">
        <v>12.92</v>
      </c>
      <c r="AA43" s="26">
        <v>0.79</v>
      </c>
      <c r="AB43" s="26">
        <v>0.02</v>
      </c>
      <c r="AC43" s="26" t="s">
        <v>189</v>
      </c>
      <c r="AD43" s="26" t="s">
        <v>189</v>
      </c>
      <c r="AE43" s="26" t="s">
        <v>189</v>
      </c>
    </row>
    <row r="44" spans="1:31" ht="12" customHeight="1" x14ac:dyDescent="0.25">
      <c r="A44" s="74" t="s">
        <v>36</v>
      </c>
      <c r="B44" s="69">
        <v>100</v>
      </c>
      <c r="C44" s="26">
        <v>2.2200000000000002</v>
      </c>
      <c r="D44" s="26">
        <v>1.17</v>
      </c>
      <c r="E44" s="26">
        <v>0.64</v>
      </c>
      <c r="F44" s="26">
        <v>1</v>
      </c>
      <c r="G44" s="26">
        <v>0.55000000000000004</v>
      </c>
      <c r="H44" s="26">
        <v>0.9</v>
      </c>
      <c r="I44" s="26">
        <v>1.61</v>
      </c>
      <c r="J44" s="26">
        <v>2.0299999999999998</v>
      </c>
      <c r="K44" s="26">
        <v>1.29</v>
      </c>
      <c r="L44" s="26">
        <v>1.71</v>
      </c>
      <c r="M44" s="26">
        <v>1.32</v>
      </c>
      <c r="N44" s="26">
        <v>2.0699999999999998</v>
      </c>
      <c r="O44" s="26">
        <v>3.08</v>
      </c>
      <c r="P44" s="26">
        <v>2.63</v>
      </c>
      <c r="Q44" s="26">
        <v>5.59</v>
      </c>
      <c r="R44" s="26">
        <v>6.17</v>
      </c>
      <c r="S44" s="26">
        <v>7.86</v>
      </c>
      <c r="T44" s="26">
        <v>6.69</v>
      </c>
      <c r="U44" s="26">
        <v>12.98</v>
      </c>
      <c r="V44" s="26">
        <v>14.65</v>
      </c>
      <c r="W44" s="26">
        <v>7.3</v>
      </c>
      <c r="X44" s="26">
        <v>5.0199999999999996</v>
      </c>
      <c r="Y44" s="26">
        <v>5.73</v>
      </c>
      <c r="Z44" s="26">
        <v>5.16</v>
      </c>
      <c r="AA44" s="26">
        <v>0.35</v>
      </c>
      <c r="AB44" s="26">
        <v>0.27</v>
      </c>
      <c r="AC44" s="26">
        <v>0.01</v>
      </c>
      <c r="AD44" s="26" t="s">
        <v>189</v>
      </c>
      <c r="AE44" s="26" t="s">
        <v>189</v>
      </c>
    </row>
    <row r="45" spans="1:31" ht="12" customHeight="1" x14ac:dyDescent="0.25">
      <c r="A45" s="74" t="s">
        <v>37</v>
      </c>
      <c r="B45" s="69">
        <v>100</v>
      </c>
      <c r="C45" s="26">
        <v>0.93</v>
      </c>
      <c r="D45" s="26">
        <v>0.7</v>
      </c>
      <c r="E45" s="26">
        <v>1.1100000000000001</v>
      </c>
      <c r="F45" s="26">
        <v>2.67</v>
      </c>
      <c r="G45" s="26">
        <v>0.81</v>
      </c>
      <c r="H45" s="26">
        <v>1.85</v>
      </c>
      <c r="I45" s="26">
        <v>2.64</v>
      </c>
      <c r="J45" s="26">
        <v>2.3199999999999998</v>
      </c>
      <c r="K45" s="26">
        <v>2.14</v>
      </c>
      <c r="L45" s="26">
        <v>2.67</v>
      </c>
      <c r="M45" s="26">
        <v>2.5</v>
      </c>
      <c r="N45" s="26">
        <v>2.87</v>
      </c>
      <c r="O45" s="26">
        <v>2.2000000000000002</v>
      </c>
      <c r="P45" s="26">
        <v>2.72</v>
      </c>
      <c r="Q45" s="26">
        <v>5.29</v>
      </c>
      <c r="R45" s="26">
        <v>5.84</v>
      </c>
      <c r="S45" s="26">
        <v>6.35</v>
      </c>
      <c r="T45" s="26">
        <v>5.58</v>
      </c>
      <c r="U45" s="26">
        <v>10.58</v>
      </c>
      <c r="V45" s="26">
        <v>15.22</v>
      </c>
      <c r="W45" s="26">
        <v>8.51</v>
      </c>
      <c r="X45" s="26">
        <v>4.37</v>
      </c>
      <c r="Y45" s="26">
        <v>4.66</v>
      </c>
      <c r="Z45" s="26">
        <v>4.4400000000000004</v>
      </c>
      <c r="AA45" s="26">
        <v>0.79</v>
      </c>
      <c r="AB45" s="26">
        <v>0.23</v>
      </c>
      <c r="AC45" s="26">
        <v>0.01</v>
      </c>
      <c r="AD45" s="26" t="s">
        <v>189</v>
      </c>
      <c r="AE45" s="26" t="s">
        <v>189</v>
      </c>
    </row>
    <row r="46" spans="1:31" ht="12" customHeight="1" x14ac:dyDescent="0.25">
      <c r="A46" s="74" t="s">
        <v>120</v>
      </c>
      <c r="B46" s="69">
        <v>100</v>
      </c>
      <c r="C46" s="26">
        <v>0.1</v>
      </c>
      <c r="D46" s="26" t="s">
        <v>189</v>
      </c>
      <c r="E46" s="26">
        <v>0.2</v>
      </c>
      <c r="F46" s="26" t="s">
        <v>189</v>
      </c>
      <c r="G46" s="26">
        <v>0.1</v>
      </c>
      <c r="H46" s="26" t="s">
        <v>189</v>
      </c>
      <c r="I46" s="26">
        <v>0.1</v>
      </c>
      <c r="J46" s="26">
        <v>0.2</v>
      </c>
      <c r="K46" s="26" t="s">
        <v>189</v>
      </c>
      <c r="L46" s="26">
        <v>0.1</v>
      </c>
      <c r="M46" s="26">
        <v>0.2</v>
      </c>
      <c r="N46" s="26">
        <v>0.1</v>
      </c>
      <c r="O46" s="26">
        <v>0.2</v>
      </c>
      <c r="P46" s="26">
        <v>1.4</v>
      </c>
      <c r="Q46" s="26">
        <v>0.9</v>
      </c>
      <c r="R46" s="26">
        <v>1.5</v>
      </c>
      <c r="S46" s="26">
        <v>1.6</v>
      </c>
      <c r="T46" s="26">
        <v>3.39</v>
      </c>
      <c r="U46" s="26">
        <v>5.88</v>
      </c>
      <c r="V46" s="26">
        <v>12.96</v>
      </c>
      <c r="W46" s="26">
        <v>14.76</v>
      </c>
      <c r="X46" s="26">
        <v>13.26</v>
      </c>
      <c r="Y46" s="26">
        <v>22.53</v>
      </c>
      <c r="Z46" s="26">
        <v>19.14</v>
      </c>
      <c r="AA46" s="26">
        <v>1.4</v>
      </c>
      <c r="AB46" s="26" t="s">
        <v>189</v>
      </c>
      <c r="AC46" s="26" t="s">
        <v>189</v>
      </c>
      <c r="AD46" s="26" t="s">
        <v>189</v>
      </c>
      <c r="AE46" s="26" t="s">
        <v>189</v>
      </c>
    </row>
    <row r="47" spans="1:31" s="4" customFormat="1" ht="21" customHeight="1" x14ac:dyDescent="0.25">
      <c r="A47" s="73" t="s">
        <v>113</v>
      </c>
      <c r="B47" s="40">
        <v>100</v>
      </c>
      <c r="C47" s="18">
        <v>4.45</v>
      </c>
      <c r="D47" s="18">
        <v>4.57</v>
      </c>
      <c r="E47" s="18">
        <v>6.22</v>
      </c>
      <c r="F47" s="18">
        <v>8.2100000000000009</v>
      </c>
      <c r="G47" s="18">
        <v>2.17</v>
      </c>
      <c r="H47" s="18">
        <v>2.09</v>
      </c>
      <c r="I47" s="18">
        <v>1.69</v>
      </c>
      <c r="J47" s="18">
        <v>1.96</v>
      </c>
      <c r="K47" s="18">
        <v>2.85</v>
      </c>
      <c r="L47" s="18">
        <v>1.65</v>
      </c>
      <c r="M47" s="18">
        <v>3.32</v>
      </c>
      <c r="N47" s="18">
        <v>3.38</v>
      </c>
      <c r="O47" s="18">
        <v>2.0499999999999998</v>
      </c>
      <c r="P47" s="18">
        <v>2.9</v>
      </c>
      <c r="Q47" s="18">
        <v>4.0199999999999996</v>
      </c>
      <c r="R47" s="18">
        <v>3.46</v>
      </c>
      <c r="S47" s="18">
        <v>4.04</v>
      </c>
      <c r="T47" s="18">
        <v>3.79</v>
      </c>
      <c r="U47" s="18">
        <v>7.06</v>
      </c>
      <c r="V47" s="18">
        <v>10.55</v>
      </c>
      <c r="W47" s="18">
        <v>6.82</v>
      </c>
      <c r="X47" s="18">
        <v>4.25</v>
      </c>
      <c r="Y47" s="18">
        <v>6.14</v>
      </c>
      <c r="Z47" s="18">
        <v>2.04</v>
      </c>
      <c r="AA47" s="18">
        <v>0.28000000000000003</v>
      </c>
      <c r="AB47" s="18">
        <v>0.01</v>
      </c>
      <c r="AC47" s="18" t="s">
        <v>189</v>
      </c>
      <c r="AD47" s="18" t="s">
        <v>189</v>
      </c>
      <c r="AE47" s="18">
        <v>0.01</v>
      </c>
    </row>
    <row r="48" spans="1:31" ht="12" customHeight="1" x14ac:dyDescent="0.25">
      <c r="A48" s="74" t="s">
        <v>38</v>
      </c>
      <c r="B48" s="69">
        <v>100</v>
      </c>
      <c r="C48" s="26">
        <v>6.53</v>
      </c>
      <c r="D48" s="26">
        <v>4.53</v>
      </c>
      <c r="E48" s="26">
        <v>2.98</v>
      </c>
      <c r="F48" s="26">
        <v>14.79</v>
      </c>
      <c r="G48" s="26">
        <v>0.62</v>
      </c>
      <c r="H48" s="26">
        <v>1.96</v>
      </c>
      <c r="I48" s="26">
        <v>1.77</v>
      </c>
      <c r="J48" s="26">
        <v>3.6</v>
      </c>
      <c r="K48" s="26">
        <v>2.71</v>
      </c>
      <c r="L48" s="26">
        <v>2.0699999999999998</v>
      </c>
      <c r="M48" s="26">
        <v>7.71</v>
      </c>
      <c r="N48" s="26">
        <v>3.42</v>
      </c>
      <c r="O48" s="26">
        <v>2</v>
      </c>
      <c r="P48" s="26">
        <v>6.05</v>
      </c>
      <c r="Q48" s="26">
        <v>4.7699999999999996</v>
      </c>
      <c r="R48" s="26">
        <v>4.0599999999999996</v>
      </c>
      <c r="S48" s="26">
        <v>5.74</v>
      </c>
      <c r="T48" s="26">
        <v>3.59</v>
      </c>
      <c r="U48" s="26">
        <v>6.35</v>
      </c>
      <c r="V48" s="26">
        <v>7.35</v>
      </c>
      <c r="W48" s="26">
        <v>2.62</v>
      </c>
      <c r="X48" s="26">
        <v>1.77</v>
      </c>
      <c r="Y48" s="26">
        <v>1.83</v>
      </c>
      <c r="Z48" s="26">
        <v>1.07</v>
      </c>
      <c r="AA48" s="26">
        <v>0.06</v>
      </c>
      <c r="AB48" s="26">
        <v>0.03</v>
      </c>
      <c r="AC48" s="26" t="s">
        <v>189</v>
      </c>
      <c r="AD48" s="26" t="s">
        <v>189</v>
      </c>
      <c r="AE48" s="66" t="s">
        <v>189</v>
      </c>
    </row>
    <row r="49" spans="1:31" ht="12" customHeight="1" x14ac:dyDescent="0.25">
      <c r="A49" s="74" t="s">
        <v>39</v>
      </c>
      <c r="B49" s="69">
        <v>100</v>
      </c>
      <c r="C49" s="26">
        <v>1.96</v>
      </c>
      <c r="D49" s="26">
        <v>9.8000000000000007</v>
      </c>
      <c r="E49" s="26" t="s">
        <v>189</v>
      </c>
      <c r="F49" s="26">
        <v>5.88</v>
      </c>
      <c r="G49" s="26">
        <v>5.88</v>
      </c>
      <c r="H49" s="26">
        <v>5.88</v>
      </c>
      <c r="I49" s="26">
        <v>5.88</v>
      </c>
      <c r="J49" s="26">
        <v>5.88</v>
      </c>
      <c r="K49" s="26">
        <v>7.84</v>
      </c>
      <c r="L49" s="26">
        <v>9.8000000000000007</v>
      </c>
      <c r="M49" s="26">
        <v>5.88</v>
      </c>
      <c r="N49" s="26">
        <v>3.92</v>
      </c>
      <c r="O49" s="26">
        <v>3.92</v>
      </c>
      <c r="P49" s="26">
        <v>5.88</v>
      </c>
      <c r="Q49" s="26">
        <v>7.84</v>
      </c>
      <c r="R49" s="26">
        <v>3.92</v>
      </c>
      <c r="S49" s="26">
        <v>5.88</v>
      </c>
      <c r="T49" s="26">
        <v>1.96</v>
      </c>
      <c r="U49" s="26" t="s">
        <v>189</v>
      </c>
      <c r="V49" s="26">
        <v>1.96</v>
      </c>
      <c r="W49" s="26" t="s">
        <v>189</v>
      </c>
      <c r="X49" s="26" t="s">
        <v>189</v>
      </c>
      <c r="Y49" s="26" t="s">
        <v>189</v>
      </c>
      <c r="Z49" s="26" t="s">
        <v>189</v>
      </c>
      <c r="AA49" s="26" t="s">
        <v>189</v>
      </c>
      <c r="AB49" s="26" t="s">
        <v>189</v>
      </c>
      <c r="AC49" s="26" t="s">
        <v>189</v>
      </c>
      <c r="AD49" s="26" t="s">
        <v>189</v>
      </c>
      <c r="AE49" s="26" t="s">
        <v>189</v>
      </c>
    </row>
    <row r="50" spans="1:31" ht="20.25" x14ac:dyDescent="0.25">
      <c r="A50" s="74" t="s">
        <v>40</v>
      </c>
      <c r="B50" s="69">
        <v>100</v>
      </c>
      <c r="C50" s="26" t="s">
        <v>189</v>
      </c>
      <c r="D50" s="26">
        <v>1.05</v>
      </c>
      <c r="E50" s="26">
        <v>0.9</v>
      </c>
      <c r="F50" s="26">
        <v>0.3</v>
      </c>
      <c r="G50" s="26">
        <v>0.6</v>
      </c>
      <c r="H50" s="26">
        <v>0.75</v>
      </c>
      <c r="I50" s="26">
        <v>1.05</v>
      </c>
      <c r="J50" s="26">
        <v>1.05</v>
      </c>
      <c r="K50" s="26">
        <v>4.3499999999999996</v>
      </c>
      <c r="L50" s="26">
        <v>1.05</v>
      </c>
      <c r="M50" s="26">
        <v>3</v>
      </c>
      <c r="N50" s="26">
        <v>1.8</v>
      </c>
      <c r="O50" s="26">
        <v>0.9</v>
      </c>
      <c r="P50" s="26">
        <v>1.35</v>
      </c>
      <c r="Q50" s="26">
        <v>3.15</v>
      </c>
      <c r="R50" s="26">
        <v>5.56</v>
      </c>
      <c r="S50" s="26">
        <v>1.2</v>
      </c>
      <c r="T50" s="26">
        <v>7.36</v>
      </c>
      <c r="U50" s="26">
        <v>11.86</v>
      </c>
      <c r="V50" s="26">
        <v>11.26</v>
      </c>
      <c r="W50" s="26">
        <v>21.02</v>
      </c>
      <c r="X50" s="26">
        <v>6.31</v>
      </c>
      <c r="Y50" s="26">
        <v>11.71</v>
      </c>
      <c r="Z50" s="26">
        <v>2.4</v>
      </c>
      <c r="AA50" s="26" t="s">
        <v>189</v>
      </c>
      <c r="AB50" s="26" t="s">
        <v>189</v>
      </c>
      <c r="AC50" s="26" t="s">
        <v>189</v>
      </c>
      <c r="AD50" s="26" t="s">
        <v>189</v>
      </c>
      <c r="AE50" s="26" t="s">
        <v>189</v>
      </c>
    </row>
    <row r="51" spans="1:31" ht="20.25" x14ac:dyDescent="0.25">
      <c r="A51" s="74" t="s">
        <v>41</v>
      </c>
      <c r="B51" s="69">
        <v>100</v>
      </c>
      <c r="C51" s="26">
        <v>7.78</v>
      </c>
      <c r="D51" s="26">
        <v>13.61</v>
      </c>
      <c r="E51" s="26">
        <v>16.77</v>
      </c>
      <c r="F51" s="26">
        <v>1.58</v>
      </c>
      <c r="G51" s="26">
        <v>0.85</v>
      </c>
      <c r="H51" s="26">
        <v>0.24</v>
      </c>
      <c r="I51" s="26">
        <v>0.49</v>
      </c>
      <c r="J51" s="26">
        <v>0.73</v>
      </c>
      <c r="K51" s="26" t="s">
        <v>189</v>
      </c>
      <c r="L51" s="26">
        <v>0.85</v>
      </c>
      <c r="M51" s="26">
        <v>0.85</v>
      </c>
      <c r="N51" s="26">
        <v>1.58</v>
      </c>
      <c r="O51" s="26">
        <v>1.0900000000000001</v>
      </c>
      <c r="P51" s="26">
        <v>4.37</v>
      </c>
      <c r="Q51" s="26">
        <v>5.35</v>
      </c>
      <c r="R51" s="26">
        <v>4.5</v>
      </c>
      <c r="S51" s="26">
        <v>5.0999999999999996</v>
      </c>
      <c r="T51" s="26">
        <v>3.52</v>
      </c>
      <c r="U51" s="26">
        <v>6.93</v>
      </c>
      <c r="V51" s="26">
        <v>6.68</v>
      </c>
      <c r="W51" s="26">
        <v>5.83</v>
      </c>
      <c r="X51" s="26">
        <v>4.01</v>
      </c>
      <c r="Y51" s="26">
        <v>4.5</v>
      </c>
      <c r="Z51" s="26">
        <v>2.79</v>
      </c>
      <c r="AA51" s="26" t="s">
        <v>189</v>
      </c>
      <c r="AB51" s="26" t="s">
        <v>189</v>
      </c>
      <c r="AC51" s="26" t="s">
        <v>189</v>
      </c>
      <c r="AD51" s="26" t="s">
        <v>189</v>
      </c>
      <c r="AE51" s="26" t="s">
        <v>189</v>
      </c>
    </row>
    <row r="52" spans="1:31" ht="20.25" x14ac:dyDescent="0.25">
      <c r="A52" s="74" t="s">
        <v>91</v>
      </c>
      <c r="B52" s="69">
        <v>100</v>
      </c>
      <c r="C52" s="26">
        <v>3.85</v>
      </c>
      <c r="D52" s="26">
        <v>1.52</v>
      </c>
      <c r="E52" s="26">
        <v>1.03</v>
      </c>
      <c r="F52" s="26">
        <v>2.74</v>
      </c>
      <c r="G52" s="26">
        <v>0.65</v>
      </c>
      <c r="H52" s="26">
        <v>1.06</v>
      </c>
      <c r="I52" s="26">
        <v>0.84</v>
      </c>
      <c r="J52" s="26">
        <v>0.9</v>
      </c>
      <c r="K52" s="26">
        <v>10.39</v>
      </c>
      <c r="L52" s="26">
        <v>1.84</v>
      </c>
      <c r="M52" s="26">
        <v>0.56000000000000005</v>
      </c>
      <c r="N52" s="26">
        <v>0.56000000000000005</v>
      </c>
      <c r="O52" s="26">
        <v>6.69</v>
      </c>
      <c r="P52" s="26">
        <v>4.1399999999999997</v>
      </c>
      <c r="Q52" s="26">
        <v>6.38</v>
      </c>
      <c r="R52" s="26">
        <v>4.32</v>
      </c>
      <c r="S52" s="26">
        <v>4.95</v>
      </c>
      <c r="T52" s="26">
        <v>6.03</v>
      </c>
      <c r="U52" s="26">
        <v>9.3000000000000007</v>
      </c>
      <c r="V52" s="26">
        <v>13.16</v>
      </c>
      <c r="W52" s="26">
        <v>8.18</v>
      </c>
      <c r="X52" s="26">
        <v>4.1100000000000003</v>
      </c>
      <c r="Y52" s="26">
        <v>4.1399999999999997</v>
      </c>
      <c r="Z52" s="26">
        <v>2.58</v>
      </c>
      <c r="AA52" s="26">
        <v>0.09</v>
      </c>
      <c r="AB52" s="26" t="s">
        <v>189</v>
      </c>
      <c r="AC52" s="26" t="s">
        <v>189</v>
      </c>
      <c r="AD52" s="26" t="s">
        <v>189</v>
      </c>
      <c r="AE52" s="26" t="s">
        <v>189</v>
      </c>
    </row>
    <row r="53" spans="1:31" ht="12" customHeight="1" x14ac:dyDescent="0.25">
      <c r="A53" s="74" t="s">
        <v>43</v>
      </c>
      <c r="B53" s="69">
        <v>100</v>
      </c>
      <c r="C53" s="26">
        <v>7.35</v>
      </c>
      <c r="D53" s="26">
        <v>4.92</v>
      </c>
      <c r="E53" s="26">
        <v>10.14</v>
      </c>
      <c r="F53" s="26">
        <v>6.54</v>
      </c>
      <c r="G53" s="26">
        <v>1.81</v>
      </c>
      <c r="H53" s="26">
        <v>3.21</v>
      </c>
      <c r="I53" s="26">
        <v>2.94</v>
      </c>
      <c r="J53" s="26">
        <v>2.85</v>
      </c>
      <c r="K53" s="26">
        <v>3.53</v>
      </c>
      <c r="L53" s="26">
        <v>2.0299999999999998</v>
      </c>
      <c r="M53" s="26">
        <v>1.1599999999999999</v>
      </c>
      <c r="N53" s="26">
        <v>13.68</v>
      </c>
      <c r="O53" s="26">
        <v>2.1800000000000002</v>
      </c>
      <c r="P53" s="26">
        <v>1.43</v>
      </c>
      <c r="Q53" s="26">
        <v>5.01</v>
      </c>
      <c r="R53" s="26">
        <v>1.39</v>
      </c>
      <c r="S53" s="26">
        <v>3.7</v>
      </c>
      <c r="T53" s="26">
        <v>2.2200000000000002</v>
      </c>
      <c r="U53" s="26">
        <v>2.97</v>
      </c>
      <c r="V53" s="26">
        <v>4.3099999999999996</v>
      </c>
      <c r="W53" s="26">
        <v>1.78</v>
      </c>
      <c r="X53" s="26">
        <v>0.56999999999999995</v>
      </c>
      <c r="Y53" s="26">
        <v>12.01</v>
      </c>
      <c r="Z53" s="26">
        <v>2.1800000000000002</v>
      </c>
      <c r="AA53" s="26">
        <v>0.06</v>
      </c>
      <c r="AB53" s="26" t="s">
        <v>189</v>
      </c>
      <c r="AC53" s="26" t="s">
        <v>189</v>
      </c>
      <c r="AD53" s="26" t="s">
        <v>189</v>
      </c>
      <c r="AE53" s="26" t="s">
        <v>189</v>
      </c>
    </row>
    <row r="54" spans="1:31" ht="12" customHeight="1" x14ac:dyDescent="0.25">
      <c r="A54" s="74" t="s">
        <v>45</v>
      </c>
      <c r="B54" s="69">
        <v>100</v>
      </c>
      <c r="C54" s="26">
        <v>2.58</v>
      </c>
      <c r="D54" s="26">
        <v>4.1100000000000003</v>
      </c>
      <c r="E54" s="26">
        <v>7.06</v>
      </c>
      <c r="F54" s="26">
        <v>7.78</v>
      </c>
      <c r="G54" s="26">
        <v>3.77</v>
      </c>
      <c r="H54" s="26">
        <v>2.4</v>
      </c>
      <c r="I54" s="26">
        <v>1.62</v>
      </c>
      <c r="J54" s="26">
        <v>1.18</v>
      </c>
      <c r="K54" s="26">
        <v>1.53</v>
      </c>
      <c r="L54" s="26">
        <v>1.35</v>
      </c>
      <c r="M54" s="26">
        <v>2.2999999999999998</v>
      </c>
      <c r="N54" s="26">
        <v>1.26</v>
      </c>
      <c r="O54" s="26">
        <v>1.44</v>
      </c>
      <c r="P54" s="26">
        <v>1.23</v>
      </c>
      <c r="Q54" s="26">
        <v>2.73</v>
      </c>
      <c r="R54" s="26">
        <v>3.18</v>
      </c>
      <c r="S54" s="26">
        <v>3.16</v>
      </c>
      <c r="T54" s="26">
        <v>3.61</v>
      </c>
      <c r="U54" s="26">
        <v>7.83</v>
      </c>
      <c r="V54" s="26">
        <v>14.31</v>
      </c>
      <c r="W54" s="26">
        <v>9.09</v>
      </c>
      <c r="X54" s="26">
        <v>6.64</v>
      </c>
      <c r="Y54" s="26">
        <v>6.91</v>
      </c>
      <c r="Z54" s="26">
        <v>2.33</v>
      </c>
      <c r="AA54" s="26">
        <v>0.57999999999999996</v>
      </c>
      <c r="AB54" s="26">
        <v>0.02</v>
      </c>
      <c r="AC54" s="26" t="s">
        <v>189</v>
      </c>
      <c r="AD54" s="26" t="s">
        <v>189</v>
      </c>
      <c r="AE54" s="26">
        <v>0.02</v>
      </c>
    </row>
    <row r="55" spans="1:31" s="4" customFormat="1" ht="21" customHeight="1" x14ac:dyDescent="0.25">
      <c r="A55" s="73" t="s">
        <v>114</v>
      </c>
      <c r="B55" s="40">
        <v>100</v>
      </c>
      <c r="C55" s="18">
        <v>1.25</v>
      </c>
      <c r="D55" s="18">
        <v>1.03</v>
      </c>
      <c r="E55" s="18">
        <v>1.1399999999999999</v>
      </c>
      <c r="F55" s="18">
        <v>1.79</v>
      </c>
      <c r="G55" s="18">
        <v>0.97</v>
      </c>
      <c r="H55" s="18">
        <v>2.2400000000000002</v>
      </c>
      <c r="I55" s="18">
        <v>2.12</v>
      </c>
      <c r="J55" s="18">
        <v>1.58</v>
      </c>
      <c r="K55" s="18">
        <v>1.91</v>
      </c>
      <c r="L55" s="18">
        <v>2.52</v>
      </c>
      <c r="M55" s="18">
        <v>1.89</v>
      </c>
      <c r="N55" s="18">
        <v>2.06</v>
      </c>
      <c r="O55" s="18">
        <v>1.89</v>
      </c>
      <c r="P55" s="18">
        <v>2.4</v>
      </c>
      <c r="Q55" s="18">
        <v>5.0599999999999996</v>
      </c>
      <c r="R55" s="18">
        <v>5.0199999999999996</v>
      </c>
      <c r="S55" s="18">
        <v>5.26</v>
      </c>
      <c r="T55" s="18">
        <v>5.51</v>
      </c>
      <c r="U55" s="18">
        <v>10.43</v>
      </c>
      <c r="V55" s="18">
        <v>14.13</v>
      </c>
      <c r="W55" s="18">
        <v>9.33</v>
      </c>
      <c r="X55" s="18">
        <v>6.01</v>
      </c>
      <c r="Y55" s="18">
        <v>7.9</v>
      </c>
      <c r="Z55" s="18">
        <v>5.87</v>
      </c>
      <c r="AA55" s="18">
        <v>0.56999999999999995</v>
      </c>
      <c r="AB55" s="18">
        <v>0.12</v>
      </c>
      <c r="AC55" s="18">
        <v>0.01</v>
      </c>
      <c r="AD55" s="18">
        <v>0</v>
      </c>
      <c r="AE55" s="18" t="s">
        <v>189</v>
      </c>
    </row>
    <row r="56" spans="1:31" ht="12" customHeight="1" x14ac:dyDescent="0.25">
      <c r="A56" s="74" t="s">
        <v>46</v>
      </c>
      <c r="B56" s="69">
        <v>100</v>
      </c>
      <c r="C56" s="26">
        <v>0.57999999999999996</v>
      </c>
      <c r="D56" s="26">
        <v>0.63</v>
      </c>
      <c r="E56" s="26">
        <v>1.74</v>
      </c>
      <c r="F56" s="26">
        <v>1.97</v>
      </c>
      <c r="G56" s="26">
        <v>1.21</v>
      </c>
      <c r="H56" s="26">
        <v>2.0699999999999998</v>
      </c>
      <c r="I56" s="26">
        <v>1.48</v>
      </c>
      <c r="J56" s="26">
        <v>1.1499999999999999</v>
      </c>
      <c r="K56" s="26">
        <v>2.35</v>
      </c>
      <c r="L56" s="26">
        <v>2.61</v>
      </c>
      <c r="M56" s="26">
        <v>2.4500000000000002</v>
      </c>
      <c r="N56" s="26">
        <v>2.4</v>
      </c>
      <c r="O56" s="26">
        <v>1.82</v>
      </c>
      <c r="P56" s="26">
        <v>2.5299999999999998</v>
      </c>
      <c r="Q56" s="26">
        <v>4.6500000000000004</v>
      </c>
      <c r="R56" s="26">
        <v>5.21</v>
      </c>
      <c r="S56" s="26">
        <v>5.24</v>
      </c>
      <c r="T56" s="26">
        <v>6.24</v>
      </c>
      <c r="U56" s="26">
        <v>9.98</v>
      </c>
      <c r="V56" s="26">
        <v>11.69</v>
      </c>
      <c r="W56" s="26">
        <v>9.16</v>
      </c>
      <c r="X56" s="26">
        <v>7.54</v>
      </c>
      <c r="Y56" s="26">
        <v>10.42</v>
      </c>
      <c r="Z56" s="26">
        <v>4.47</v>
      </c>
      <c r="AA56" s="26">
        <v>0.36</v>
      </c>
      <c r="AB56" s="26">
        <v>0.05</v>
      </c>
      <c r="AC56" s="26">
        <v>0</v>
      </c>
      <c r="AD56" s="26" t="s">
        <v>189</v>
      </c>
      <c r="AE56" s="66" t="s">
        <v>189</v>
      </c>
    </row>
    <row r="57" spans="1:31" ht="12" customHeight="1" x14ac:dyDescent="0.25">
      <c r="A57" s="74" t="s">
        <v>47</v>
      </c>
      <c r="B57" s="69">
        <v>100</v>
      </c>
      <c r="C57" s="26">
        <v>0.77</v>
      </c>
      <c r="D57" s="26">
        <v>0.35</v>
      </c>
      <c r="E57" s="26">
        <v>0.86</v>
      </c>
      <c r="F57" s="26">
        <v>0.44</v>
      </c>
      <c r="G57" s="26">
        <v>0.37</v>
      </c>
      <c r="H57" s="26">
        <v>1.97</v>
      </c>
      <c r="I57" s="26">
        <v>1.61</v>
      </c>
      <c r="J57" s="26">
        <v>5.6</v>
      </c>
      <c r="K57" s="26">
        <v>2.57</v>
      </c>
      <c r="L57" s="26">
        <v>5.82</v>
      </c>
      <c r="M57" s="26">
        <v>4.59</v>
      </c>
      <c r="N57" s="26">
        <v>4.57</v>
      </c>
      <c r="O57" s="26">
        <v>3.75</v>
      </c>
      <c r="P57" s="26">
        <v>7.97</v>
      </c>
      <c r="Q57" s="26">
        <v>5.31</v>
      </c>
      <c r="R57" s="26">
        <v>5.78</v>
      </c>
      <c r="S57" s="26">
        <v>4.6500000000000004</v>
      </c>
      <c r="T57" s="26">
        <v>5.34</v>
      </c>
      <c r="U57" s="26">
        <v>13.15</v>
      </c>
      <c r="V57" s="26">
        <v>11.98</v>
      </c>
      <c r="W57" s="26">
        <v>5.26</v>
      </c>
      <c r="X57" s="26">
        <v>3.11</v>
      </c>
      <c r="Y57" s="26">
        <v>2.57</v>
      </c>
      <c r="Z57" s="26">
        <v>1.1399999999999999</v>
      </c>
      <c r="AA57" s="26">
        <v>0.35</v>
      </c>
      <c r="AB57" s="26">
        <v>0.12</v>
      </c>
      <c r="AC57" s="66" t="s">
        <v>189</v>
      </c>
      <c r="AD57" s="26" t="s">
        <v>189</v>
      </c>
      <c r="AE57" s="26" t="s">
        <v>189</v>
      </c>
    </row>
    <row r="58" spans="1:31" ht="12" customHeight="1" x14ac:dyDescent="0.25">
      <c r="A58" s="74" t="s">
        <v>48</v>
      </c>
      <c r="B58" s="69">
        <v>100</v>
      </c>
      <c r="C58" s="26">
        <v>3.76</v>
      </c>
      <c r="D58" s="26">
        <v>3.57</v>
      </c>
      <c r="E58" s="26">
        <v>0.76</v>
      </c>
      <c r="F58" s="26">
        <v>2.73</v>
      </c>
      <c r="G58" s="26">
        <v>0.61</v>
      </c>
      <c r="H58" s="26">
        <v>1.05</v>
      </c>
      <c r="I58" s="26">
        <v>1.76</v>
      </c>
      <c r="J58" s="26">
        <v>2.0499999999999998</v>
      </c>
      <c r="K58" s="26">
        <v>2.8</v>
      </c>
      <c r="L58" s="26">
        <v>4.1399999999999997</v>
      </c>
      <c r="M58" s="26">
        <v>2.57</v>
      </c>
      <c r="N58" s="26">
        <v>3.39</v>
      </c>
      <c r="O58" s="26">
        <v>3.32</v>
      </c>
      <c r="P58" s="26">
        <v>5.28</v>
      </c>
      <c r="Q58" s="26">
        <v>9.0500000000000007</v>
      </c>
      <c r="R58" s="26">
        <v>7.03</v>
      </c>
      <c r="S58" s="26">
        <v>9.31</v>
      </c>
      <c r="T58" s="26">
        <v>12.04</v>
      </c>
      <c r="U58" s="26">
        <v>12.83</v>
      </c>
      <c r="V58" s="26">
        <v>6.48</v>
      </c>
      <c r="W58" s="26">
        <v>2.79</v>
      </c>
      <c r="X58" s="26">
        <v>0.93</v>
      </c>
      <c r="Y58" s="26">
        <v>0.86</v>
      </c>
      <c r="Z58" s="26">
        <v>0.84</v>
      </c>
      <c r="AA58" s="26">
        <v>0.05</v>
      </c>
      <c r="AB58" s="26" t="s">
        <v>189</v>
      </c>
      <c r="AC58" s="26" t="s">
        <v>189</v>
      </c>
      <c r="AD58" s="26" t="s">
        <v>189</v>
      </c>
      <c r="AE58" s="26" t="s">
        <v>189</v>
      </c>
    </row>
    <row r="59" spans="1:31" ht="12" customHeight="1" x14ac:dyDescent="0.25">
      <c r="A59" s="74" t="s">
        <v>90</v>
      </c>
      <c r="B59" s="69">
        <v>100</v>
      </c>
      <c r="C59" s="26">
        <v>0.22</v>
      </c>
      <c r="D59" s="26">
        <v>0.32</v>
      </c>
      <c r="E59" s="26">
        <v>0.47</v>
      </c>
      <c r="F59" s="26">
        <v>0.98</v>
      </c>
      <c r="G59" s="26">
        <v>0.94</v>
      </c>
      <c r="H59" s="26">
        <v>2.02</v>
      </c>
      <c r="I59" s="26">
        <v>1.72</v>
      </c>
      <c r="J59" s="26">
        <v>1.05</v>
      </c>
      <c r="K59" s="26">
        <v>1.03</v>
      </c>
      <c r="L59" s="26">
        <v>1.88</v>
      </c>
      <c r="M59" s="26">
        <v>0.88</v>
      </c>
      <c r="N59" s="26">
        <v>1.4</v>
      </c>
      <c r="O59" s="26">
        <v>1.67</v>
      </c>
      <c r="P59" s="26">
        <v>1.98</v>
      </c>
      <c r="Q59" s="26">
        <v>4.54</v>
      </c>
      <c r="R59" s="26">
        <v>4.0599999999999996</v>
      </c>
      <c r="S59" s="26">
        <v>5.43</v>
      </c>
      <c r="T59" s="26">
        <v>5.2</v>
      </c>
      <c r="U59" s="26">
        <v>10.64</v>
      </c>
      <c r="V59" s="26">
        <v>16.68</v>
      </c>
      <c r="W59" s="26">
        <v>9.8699999999999992</v>
      </c>
      <c r="X59" s="26">
        <v>6.12</v>
      </c>
      <c r="Y59" s="26">
        <v>9.02</v>
      </c>
      <c r="Z59" s="26">
        <v>10.69</v>
      </c>
      <c r="AA59" s="26">
        <v>0.95</v>
      </c>
      <c r="AB59" s="26">
        <v>0.22</v>
      </c>
      <c r="AC59" s="26">
        <v>0.01</v>
      </c>
      <c r="AD59" s="26">
        <v>0</v>
      </c>
      <c r="AE59" s="26" t="s">
        <v>189</v>
      </c>
    </row>
    <row r="60" spans="1:31" ht="12" customHeight="1" x14ac:dyDescent="0.25">
      <c r="A60" s="74" t="s">
        <v>50</v>
      </c>
      <c r="B60" s="69">
        <v>100</v>
      </c>
      <c r="C60" s="26">
        <v>2.62</v>
      </c>
      <c r="D60" s="26">
        <v>0.36</v>
      </c>
      <c r="E60" s="26">
        <v>1.1399999999999999</v>
      </c>
      <c r="F60" s="26">
        <v>2.2200000000000002</v>
      </c>
      <c r="G60" s="26">
        <v>2.35</v>
      </c>
      <c r="H60" s="26">
        <v>2.14</v>
      </c>
      <c r="I60" s="26">
        <v>2.2400000000000002</v>
      </c>
      <c r="J60" s="26">
        <v>1.96</v>
      </c>
      <c r="K60" s="26">
        <v>3.24</v>
      </c>
      <c r="L60" s="26">
        <v>3.12</v>
      </c>
      <c r="M60" s="26">
        <v>4.4000000000000004</v>
      </c>
      <c r="N60" s="26">
        <v>3.67</v>
      </c>
      <c r="O60" s="26">
        <v>3.7</v>
      </c>
      <c r="P60" s="26">
        <v>2.77</v>
      </c>
      <c r="Q60" s="26">
        <v>7.22</v>
      </c>
      <c r="R60" s="26">
        <v>6.17</v>
      </c>
      <c r="S60" s="26">
        <v>7.54</v>
      </c>
      <c r="T60" s="26">
        <v>6.12</v>
      </c>
      <c r="U60" s="26">
        <v>11.64</v>
      </c>
      <c r="V60" s="26">
        <v>9.68</v>
      </c>
      <c r="W60" s="26">
        <v>5.09</v>
      </c>
      <c r="X60" s="26">
        <v>2.94</v>
      </c>
      <c r="Y60" s="26">
        <v>5.64</v>
      </c>
      <c r="Z60" s="26">
        <v>2.0499999999999998</v>
      </c>
      <c r="AA60" s="26" t="s">
        <v>189</v>
      </c>
      <c r="AB60" s="26" t="s">
        <v>189</v>
      </c>
      <c r="AC60" s="26" t="s">
        <v>189</v>
      </c>
      <c r="AD60" s="26" t="s">
        <v>189</v>
      </c>
      <c r="AE60" s="26" t="s">
        <v>189</v>
      </c>
    </row>
    <row r="61" spans="1:31" s="5" customFormat="1" ht="12" customHeight="1" x14ac:dyDescent="0.25">
      <c r="A61" s="74" t="s">
        <v>51</v>
      </c>
      <c r="B61" s="69">
        <v>100</v>
      </c>
      <c r="C61" s="26">
        <v>1.76</v>
      </c>
      <c r="D61" s="26">
        <v>1.36</v>
      </c>
      <c r="E61" s="26">
        <v>0.49</v>
      </c>
      <c r="F61" s="26">
        <v>0.93</v>
      </c>
      <c r="G61" s="26">
        <v>1.18</v>
      </c>
      <c r="H61" s="26">
        <v>1.1299999999999999</v>
      </c>
      <c r="I61" s="26">
        <v>3.15</v>
      </c>
      <c r="J61" s="26">
        <v>2.44</v>
      </c>
      <c r="K61" s="26">
        <v>2.13</v>
      </c>
      <c r="L61" s="26">
        <v>2.17</v>
      </c>
      <c r="M61" s="26">
        <v>2.16</v>
      </c>
      <c r="N61" s="26">
        <v>3.33</v>
      </c>
      <c r="O61" s="26">
        <v>2.02</v>
      </c>
      <c r="P61" s="26">
        <v>2.34</v>
      </c>
      <c r="Q61" s="26">
        <v>4.82</v>
      </c>
      <c r="R61" s="26">
        <v>4.1399999999999997</v>
      </c>
      <c r="S61" s="26">
        <v>5.4</v>
      </c>
      <c r="T61" s="26">
        <v>5.33</v>
      </c>
      <c r="U61" s="26">
        <v>12.37</v>
      </c>
      <c r="V61" s="26">
        <v>19.88</v>
      </c>
      <c r="W61" s="26">
        <v>8.8800000000000008</v>
      </c>
      <c r="X61" s="26">
        <v>3.65</v>
      </c>
      <c r="Y61" s="26">
        <v>5.04</v>
      </c>
      <c r="Z61" s="26">
        <v>3.42</v>
      </c>
      <c r="AA61" s="26">
        <v>0.44</v>
      </c>
      <c r="AB61" s="26" t="s">
        <v>189</v>
      </c>
      <c r="AC61" s="26">
        <v>0.04</v>
      </c>
      <c r="AD61" s="26" t="s">
        <v>189</v>
      </c>
      <c r="AE61" s="26" t="s">
        <v>189</v>
      </c>
    </row>
    <row r="62" spans="1:31" ht="12" customHeight="1" x14ac:dyDescent="0.25">
      <c r="A62" s="75" t="s">
        <v>52</v>
      </c>
      <c r="B62" s="69">
        <v>100</v>
      </c>
      <c r="C62" s="26">
        <v>0.99</v>
      </c>
      <c r="D62" s="26">
        <v>0.85</v>
      </c>
      <c r="E62" s="26">
        <v>0.85</v>
      </c>
      <c r="F62" s="26">
        <v>1.91</v>
      </c>
      <c r="G62" s="26">
        <v>0.72</v>
      </c>
      <c r="H62" s="26">
        <v>1.62</v>
      </c>
      <c r="I62" s="26">
        <v>1.88</v>
      </c>
      <c r="J62" s="26">
        <v>1.37</v>
      </c>
      <c r="K62" s="26">
        <v>2.19</v>
      </c>
      <c r="L62" s="26">
        <v>2.11</v>
      </c>
      <c r="M62" s="26">
        <v>1.82</v>
      </c>
      <c r="N62" s="26">
        <v>1.97</v>
      </c>
      <c r="O62" s="26">
        <v>2.09</v>
      </c>
      <c r="P62" s="26">
        <v>1.92</v>
      </c>
      <c r="Q62" s="26">
        <v>6.3</v>
      </c>
      <c r="R62" s="26">
        <v>5.15</v>
      </c>
      <c r="S62" s="26">
        <v>5.29</v>
      </c>
      <c r="T62" s="26">
        <v>6.79</v>
      </c>
      <c r="U62" s="26">
        <v>11.54</v>
      </c>
      <c r="V62" s="26">
        <v>14.14</v>
      </c>
      <c r="W62" s="26">
        <v>9.57</v>
      </c>
      <c r="X62" s="26">
        <v>5.75</v>
      </c>
      <c r="Y62" s="26">
        <v>7.43</v>
      </c>
      <c r="Z62" s="26">
        <v>5.08</v>
      </c>
      <c r="AA62" s="26">
        <v>0.38</v>
      </c>
      <c r="AB62" s="26">
        <v>0.25</v>
      </c>
      <c r="AC62" s="26">
        <v>0.02</v>
      </c>
      <c r="AD62" s="26" t="s">
        <v>189</v>
      </c>
      <c r="AE62" s="26" t="s">
        <v>189</v>
      </c>
    </row>
    <row r="63" spans="1:31" ht="12" customHeight="1" x14ac:dyDescent="0.25">
      <c r="A63" s="74" t="s">
        <v>53</v>
      </c>
      <c r="B63" s="70">
        <v>100</v>
      </c>
      <c r="C63" s="26">
        <v>1.79</v>
      </c>
      <c r="D63" s="26">
        <v>0.35</v>
      </c>
      <c r="E63" s="26">
        <v>0.61</v>
      </c>
      <c r="F63" s="26">
        <v>0.86</v>
      </c>
      <c r="G63" s="26">
        <v>0.7</v>
      </c>
      <c r="H63" s="26">
        <v>2.42</v>
      </c>
      <c r="I63" s="26">
        <v>1.63</v>
      </c>
      <c r="J63" s="26">
        <v>2.23</v>
      </c>
      <c r="K63" s="26">
        <v>1.79</v>
      </c>
      <c r="L63" s="26">
        <v>2.11</v>
      </c>
      <c r="M63" s="26">
        <v>2.2000000000000002</v>
      </c>
      <c r="N63" s="26">
        <v>1.31</v>
      </c>
      <c r="O63" s="26">
        <v>1.53</v>
      </c>
      <c r="P63" s="26">
        <v>2.17</v>
      </c>
      <c r="Q63" s="26">
        <v>4.66</v>
      </c>
      <c r="R63" s="26">
        <v>5.17</v>
      </c>
      <c r="S63" s="26">
        <v>6.51</v>
      </c>
      <c r="T63" s="26">
        <v>8.42</v>
      </c>
      <c r="U63" s="26">
        <v>17.22</v>
      </c>
      <c r="V63" s="26">
        <v>17.16</v>
      </c>
      <c r="W63" s="26">
        <v>8.58</v>
      </c>
      <c r="X63" s="26">
        <v>4.72</v>
      </c>
      <c r="Y63" s="26">
        <v>4.18</v>
      </c>
      <c r="Z63" s="26">
        <v>1.59</v>
      </c>
      <c r="AA63" s="26">
        <v>0.1</v>
      </c>
      <c r="AB63" s="26" t="s">
        <v>189</v>
      </c>
      <c r="AC63" s="26" t="s">
        <v>189</v>
      </c>
      <c r="AD63" s="26" t="s">
        <v>189</v>
      </c>
      <c r="AE63" s="26" t="s">
        <v>189</v>
      </c>
    </row>
    <row r="64" spans="1:31" ht="12" customHeight="1" x14ac:dyDescent="0.25">
      <c r="A64" s="74" t="s">
        <v>54</v>
      </c>
      <c r="B64" s="69">
        <v>100</v>
      </c>
      <c r="C64" s="26">
        <v>0.81</v>
      </c>
      <c r="D64" s="26">
        <v>0.49</v>
      </c>
      <c r="E64" s="26">
        <v>0.23</v>
      </c>
      <c r="F64" s="26">
        <v>2.2000000000000002</v>
      </c>
      <c r="G64" s="26">
        <v>0.57999999999999996</v>
      </c>
      <c r="H64" s="26">
        <v>2.0299999999999998</v>
      </c>
      <c r="I64" s="26">
        <v>2.56</v>
      </c>
      <c r="J64" s="26">
        <v>1.67</v>
      </c>
      <c r="K64" s="26">
        <v>1.24</v>
      </c>
      <c r="L64" s="26">
        <v>1.71</v>
      </c>
      <c r="M64" s="26">
        <v>1.1599999999999999</v>
      </c>
      <c r="N64" s="26">
        <v>1.89</v>
      </c>
      <c r="O64" s="26">
        <v>1.61</v>
      </c>
      <c r="P64" s="26">
        <v>2.54</v>
      </c>
      <c r="Q64" s="26">
        <v>5.4</v>
      </c>
      <c r="R64" s="26">
        <v>8.39</v>
      </c>
      <c r="S64" s="26">
        <v>4.93</v>
      </c>
      <c r="T64" s="26">
        <v>3.99</v>
      </c>
      <c r="U64" s="26">
        <v>8.75</v>
      </c>
      <c r="V64" s="26">
        <v>11.98</v>
      </c>
      <c r="W64" s="26">
        <v>9.14</v>
      </c>
      <c r="X64" s="26">
        <v>7</v>
      </c>
      <c r="Y64" s="26">
        <v>10.57</v>
      </c>
      <c r="Z64" s="26">
        <v>8.24</v>
      </c>
      <c r="AA64" s="26">
        <v>0.76</v>
      </c>
      <c r="AB64" s="26">
        <v>0.11</v>
      </c>
      <c r="AC64" s="26">
        <v>0.01</v>
      </c>
      <c r="AD64" s="26" t="s">
        <v>189</v>
      </c>
      <c r="AE64" s="26" t="s">
        <v>189</v>
      </c>
    </row>
    <row r="65" spans="1:31" ht="12" customHeight="1" x14ac:dyDescent="0.25">
      <c r="A65" s="74" t="s">
        <v>55</v>
      </c>
      <c r="B65" s="69">
        <v>100</v>
      </c>
      <c r="C65" s="26">
        <v>0.92</v>
      </c>
      <c r="D65" s="26">
        <v>0.18</v>
      </c>
      <c r="E65" s="26">
        <v>1.7</v>
      </c>
      <c r="F65" s="26">
        <v>3.15</v>
      </c>
      <c r="G65" s="26">
        <v>0.28999999999999998</v>
      </c>
      <c r="H65" s="26">
        <v>5.67</v>
      </c>
      <c r="I65" s="26">
        <v>2.4500000000000002</v>
      </c>
      <c r="J65" s="26">
        <v>2.7</v>
      </c>
      <c r="K65" s="26">
        <v>1.61</v>
      </c>
      <c r="L65" s="26">
        <v>3.41</v>
      </c>
      <c r="M65" s="26">
        <v>1.0900000000000001</v>
      </c>
      <c r="N65" s="26">
        <v>2.12</v>
      </c>
      <c r="O65" s="26">
        <v>3.13</v>
      </c>
      <c r="P65" s="26">
        <v>1.76</v>
      </c>
      <c r="Q65" s="26">
        <v>5.95</v>
      </c>
      <c r="R65" s="26">
        <v>5.77</v>
      </c>
      <c r="S65" s="26">
        <v>6.04</v>
      </c>
      <c r="T65" s="26">
        <v>5.73</v>
      </c>
      <c r="U65" s="26">
        <v>10.32</v>
      </c>
      <c r="V65" s="26">
        <v>14.2</v>
      </c>
      <c r="W65" s="26">
        <v>8.91</v>
      </c>
      <c r="X65" s="26">
        <v>4.76</v>
      </c>
      <c r="Y65" s="26">
        <v>4.3600000000000003</v>
      </c>
      <c r="Z65" s="26">
        <v>3.01</v>
      </c>
      <c r="AA65" s="26">
        <v>0.61</v>
      </c>
      <c r="AB65" s="26">
        <v>0.12</v>
      </c>
      <c r="AC65" s="26">
        <v>0.03</v>
      </c>
      <c r="AD65" s="26" t="s">
        <v>189</v>
      </c>
      <c r="AE65" s="66" t="s">
        <v>189</v>
      </c>
    </row>
    <row r="66" spans="1:31" ht="12" customHeight="1" x14ac:dyDescent="0.25">
      <c r="A66" s="74" t="s">
        <v>56</v>
      </c>
      <c r="B66" s="69">
        <v>100</v>
      </c>
      <c r="C66" s="26">
        <v>1.36</v>
      </c>
      <c r="D66" s="26">
        <v>4.09</v>
      </c>
      <c r="E66" s="26">
        <v>0.43</v>
      </c>
      <c r="F66" s="26">
        <v>1.3</v>
      </c>
      <c r="G66" s="26">
        <v>2.25</v>
      </c>
      <c r="H66" s="26">
        <v>3.13</v>
      </c>
      <c r="I66" s="26">
        <v>3.98</v>
      </c>
      <c r="J66" s="26">
        <v>2.5</v>
      </c>
      <c r="K66" s="26">
        <v>2.5499999999999998</v>
      </c>
      <c r="L66" s="26">
        <v>3.6</v>
      </c>
      <c r="M66" s="26">
        <v>3.63</v>
      </c>
      <c r="N66" s="26">
        <v>2.5</v>
      </c>
      <c r="O66" s="26">
        <v>1.41</v>
      </c>
      <c r="P66" s="26">
        <v>3.27</v>
      </c>
      <c r="Q66" s="26">
        <v>3.66</v>
      </c>
      <c r="R66" s="26">
        <v>2.37</v>
      </c>
      <c r="S66" s="26">
        <v>3.01</v>
      </c>
      <c r="T66" s="26">
        <v>2.1</v>
      </c>
      <c r="U66" s="26">
        <v>4.55</v>
      </c>
      <c r="V66" s="26">
        <v>15.94</v>
      </c>
      <c r="W66" s="26">
        <v>13.66</v>
      </c>
      <c r="X66" s="26">
        <v>9.59</v>
      </c>
      <c r="Y66" s="26">
        <v>5.81</v>
      </c>
      <c r="Z66" s="26">
        <v>2.16</v>
      </c>
      <c r="AA66" s="26">
        <v>1.1499999999999999</v>
      </c>
      <c r="AB66" s="26" t="s">
        <v>189</v>
      </c>
      <c r="AC66" s="26" t="s">
        <v>189</v>
      </c>
      <c r="AD66" s="26" t="s">
        <v>189</v>
      </c>
      <c r="AE66" s="26" t="s">
        <v>189</v>
      </c>
    </row>
    <row r="67" spans="1:31" ht="12" customHeight="1" x14ac:dyDescent="0.25">
      <c r="A67" s="74" t="s">
        <v>57</v>
      </c>
      <c r="B67" s="69">
        <v>100</v>
      </c>
      <c r="C67" s="26">
        <v>2.31</v>
      </c>
      <c r="D67" s="26">
        <v>1.92</v>
      </c>
      <c r="E67" s="26">
        <v>1.84</v>
      </c>
      <c r="F67" s="26">
        <v>1.74</v>
      </c>
      <c r="G67" s="26">
        <v>0.99</v>
      </c>
      <c r="H67" s="26">
        <v>2.96</v>
      </c>
      <c r="I67" s="26">
        <v>2.71</v>
      </c>
      <c r="J67" s="26">
        <v>1.62</v>
      </c>
      <c r="K67" s="26">
        <v>2.58</v>
      </c>
      <c r="L67" s="26">
        <v>3.9</v>
      </c>
      <c r="M67" s="26">
        <v>2.61</v>
      </c>
      <c r="N67" s="26">
        <v>1.71</v>
      </c>
      <c r="O67" s="26">
        <v>1.37</v>
      </c>
      <c r="P67" s="26">
        <v>2.09</v>
      </c>
      <c r="Q67" s="26">
        <v>3.56</v>
      </c>
      <c r="R67" s="26">
        <v>3.05</v>
      </c>
      <c r="S67" s="26">
        <v>4.25</v>
      </c>
      <c r="T67" s="26">
        <v>4.28</v>
      </c>
      <c r="U67" s="26">
        <v>9.7799999999999994</v>
      </c>
      <c r="V67" s="26">
        <v>16.66</v>
      </c>
      <c r="W67" s="26">
        <v>11.81</v>
      </c>
      <c r="X67" s="26">
        <v>6.09</v>
      </c>
      <c r="Y67" s="26">
        <v>6.08</v>
      </c>
      <c r="Z67" s="26">
        <v>3.48</v>
      </c>
      <c r="AA67" s="26">
        <v>0.47</v>
      </c>
      <c r="AB67" s="26">
        <v>0.09</v>
      </c>
      <c r="AC67" s="26">
        <v>0.01</v>
      </c>
      <c r="AD67" s="26">
        <v>0.01</v>
      </c>
      <c r="AE67" s="26" t="s">
        <v>189</v>
      </c>
    </row>
    <row r="68" spans="1:31" ht="12" customHeight="1" x14ac:dyDescent="0.25">
      <c r="A68" s="74" t="s">
        <v>58</v>
      </c>
      <c r="B68" s="69">
        <v>100</v>
      </c>
      <c r="C68" s="26">
        <v>5.25</v>
      </c>
      <c r="D68" s="26">
        <v>4.45</v>
      </c>
      <c r="E68" s="26">
        <v>4.2</v>
      </c>
      <c r="F68" s="26">
        <v>3.44</v>
      </c>
      <c r="G68" s="26">
        <v>1.48</v>
      </c>
      <c r="H68" s="26">
        <v>2.64</v>
      </c>
      <c r="I68" s="26">
        <v>2.58</v>
      </c>
      <c r="J68" s="26">
        <v>2.37</v>
      </c>
      <c r="K68" s="26">
        <v>2.2999999999999998</v>
      </c>
      <c r="L68" s="26">
        <v>2.95</v>
      </c>
      <c r="M68" s="26">
        <v>2.2400000000000002</v>
      </c>
      <c r="N68" s="26">
        <v>2.58</v>
      </c>
      <c r="O68" s="26">
        <v>2.1</v>
      </c>
      <c r="P68" s="26">
        <v>3.02</v>
      </c>
      <c r="Q68" s="26">
        <v>5.32</v>
      </c>
      <c r="R68" s="26">
        <v>4.22</v>
      </c>
      <c r="S68" s="26">
        <v>4.6900000000000004</v>
      </c>
      <c r="T68" s="26">
        <v>4.6900000000000004</v>
      </c>
      <c r="U68" s="26">
        <v>8.36</v>
      </c>
      <c r="V68" s="26">
        <v>10.73</v>
      </c>
      <c r="W68" s="26">
        <v>7.88</v>
      </c>
      <c r="X68" s="26">
        <v>5.23</v>
      </c>
      <c r="Y68" s="26">
        <v>4.66</v>
      </c>
      <c r="Z68" s="26">
        <v>2.2200000000000002</v>
      </c>
      <c r="AA68" s="26">
        <v>0.39</v>
      </c>
      <c r="AB68" s="26">
        <v>0.02</v>
      </c>
      <c r="AC68" s="26" t="s">
        <v>189</v>
      </c>
      <c r="AD68" s="26" t="s">
        <v>189</v>
      </c>
      <c r="AE68" s="26" t="s">
        <v>189</v>
      </c>
    </row>
    <row r="69" spans="1:31" ht="12" customHeight="1" x14ac:dyDescent="0.25">
      <c r="A69" s="74" t="s">
        <v>59</v>
      </c>
      <c r="B69" s="69">
        <v>100</v>
      </c>
      <c r="C69" s="26">
        <v>1.34</v>
      </c>
      <c r="D69" s="26">
        <v>1.1499999999999999</v>
      </c>
      <c r="E69" s="26">
        <v>0.95</v>
      </c>
      <c r="F69" s="26">
        <v>2.4900000000000002</v>
      </c>
      <c r="G69" s="26">
        <v>1.2</v>
      </c>
      <c r="H69" s="26">
        <v>4.18</v>
      </c>
      <c r="I69" s="26">
        <v>3.93</v>
      </c>
      <c r="J69" s="26">
        <v>2.2400000000000002</v>
      </c>
      <c r="K69" s="26">
        <v>2.34</v>
      </c>
      <c r="L69" s="26">
        <v>2.04</v>
      </c>
      <c r="M69" s="26">
        <v>2.14</v>
      </c>
      <c r="N69" s="26">
        <v>2.74</v>
      </c>
      <c r="O69" s="26">
        <v>2.29</v>
      </c>
      <c r="P69" s="26">
        <v>2.74</v>
      </c>
      <c r="Q69" s="26">
        <v>7.67</v>
      </c>
      <c r="R69" s="26">
        <v>4.7300000000000004</v>
      </c>
      <c r="S69" s="26">
        <v>5.13</v>
      </c>
      <c r="T69" s="26">
        <v>4.9800000000000004</v>
      </c>
      <c r="U69" s="26">
        <v>10.76</v>
      </c>
      <c r="V69" s="26">
        <v>10.56</v>
      </c>
      <c r="W69" s="26">
        <v>5.18</v>
      </c>
      <c r="X69" s="26">
        <v>3.34</v>
      </c>
      <c r="Y69" s="26">
        <v>8.07</v>
      </c>
      <c r="Z69" s="26">
        <v>6.77</v>
      </c>
      <c r="AA69" s="26">
        <v>1</v>
      </c>
      <c r="AB69" s="26">
        <v>0.05</v>
      </c>
      <c r="AC69" s="26" t="s">
        <v>189</v>
      </c>
      <c r="AD69" s="26" t="s">
        <v>189</v>
      </c>
      <c r="AE69" s="26" t="s">
        <v>189</v>
      </c>
    </row>
    <row r="70" spans="1:31" s="4" customFormat="1" ht="21.75" customHeight="1" x14ac:dyDescent="0.25">
      <c r="A70" s="73" t="s">
        <v>115</v>
      </c>
      <c r="B70" s="40">
        <v>100</v>
      </c>
      <c r="C70" s="18">
        <v>0.81</v>
      </c>
      <c r="D70" s="18">
        <v>0.41</v>
      </c>
      <c r="E70" s="18">
        <v>0.48</v>
      </c>
      <c r="F70" s="18">
        <v>1.1000000000000001</v>
      </c>
      <c r="G70" s="18">
        <v>0.6</v>
      </c>
      <c r="H70" s="18">
        <v>0.98</v>
      </c>
      <c r="I70" s="18">
        <v>0.95</v>
      </c>
      <c r="J70" s="18">
        <v>0.87</v>
      </c>
      <c r="K70" s="18">
        <v>0.74</v>
      </c>
      <c r="L70" s="18">
        <v>0.97</v>
      </c>
      <c r="M70" s="18">
        <v>0.93</v>
      </c>
      <c r="N70" s="18">
        <v>1.1499999999999999</v>
      </c>
      <c r="O70" s="18">
        <v>1.19</v>
      </c>
      <c r="P70" s="18">
        <v>1.83</v>
      </c>
      <c r="Q70" s="18">
        <v>2.84</v>
      </c>
      <c r="R70" s="18">
        <v>2.63</v>
      </c>
      <c r="S70" s="18">
        <v>3.24</v>
      </c>
      <c r="T70" s="18">
        <v>3.67</v>
      </c>
      <c r="U70" s="18">
        <v>7.45</v>
      </c>
      <c r="V70" s="18">
        <v>11.75</v>
      </c>
      <c r="W70" s="18">
        <v>10.210000000000001</v>
      </c>
      <c r="X70" s="18">
        <v>9.51</v>
      </c>
      <c r="Y70" s="18">
        <v>15.95</v>
      </c>
      <c r="Z70" s="18">
        <v>17.95</v>
      </c>
      <c r="AA70" s="18">
        <v>1.47</v>
      </c>
      <c r="AB70" s="18">
        <v>0.27</v>
      </c>
      <c r="AC70" s="18">
        <v>0.02</v>
      </c>
      <c r="AD70" s="18">
        <v>0.01</v>
      </c>
      <c r="AE70" s="18">
        <v>0.02</v>
      </c>
    </row>
    <row r="71" spans="1:31" ht="12" customHeight="1" x14ac:dyDescent="0.25">
      <c r="A71" s="74" t="s">
        <v>60</v>
      </c>
      <c r="B71" s="69">
        <v>100</v>
      </c>
      <c r="C71" s="26">
        <v>1.23</v>
      </c>
      <c r="D71" s="26">
        <v>0.42</v>
      </c>
      <c r="E71" s="26">
        <v>1</v>
      </c>
      <c r="F71" s="26">
        <v>11.81</v>
      </c>
      <c r="G71" s="26">
        <v>1.89</v>
      </c>
      <c r="H71" s="26">
        <v>2.39</v>
      </c>
      <c r="I71" s="26">
        <v>1.72</v>
      </c>
      <c r="J71" s="26">
        <v>2.2000000000000002</v>
      </c>
      <c r="K71" s="26">
        <v>3.35</v>
      </c>
      <c r="L71" s="26">
        <v>2.4900000000000002</v>
      </c>
      <c r="M71" s="26">
        <v>1.82</v>
      </c>
      <c r="N71" s="26">
        <v>2.27</v>
      </c>
      <c r="O71" s="26">
        <v>2.2400000000000002</v>
      </c>
      <c r="P71" s="26">
        <v>2.44</v>
      </c>
      <c r="Q71" s="26">
        <v>4.42</v>
      </c>
      <c r="R71" s="26">
        <v>4.63</v>
      </c>
      <c r="S71" s="26">
        <v>5.03</v>
      </c>
      <c r="T71" s="26">
        <v>5.66</v>
      </c>
      <c r="U71" s="26">
        <v>12.83</v>
      </c>
      <c r="V71" s="26">
        <v>12.77</v>
      </c>
      <c r="W71" s="26">
        <v>7.75</v>
      </c>
      <c r="X71" s="26">
        <v>4.22</v>
      </c>
      <c r="Y71" s="26">
        <v>2.74</v>
      </c>
      <c r="Z71" s="26">
        <v>2.2000000000000002</v>
      </c>
      <c r="AA71" s="26">
        <v>0.31</v>
      </c>
      <c r="AB71" s="26">
        <v>0.13</v>
      </c>
      <c r="AC71" s="26" t="s">
        <v>189</v>
      </c>
      <c r="AD71" s="26" t="s">
        <v>189</v>
      </c>
      <c r="AE71" s="26" t="s">
        <v>189</v>
      </c>
    </row>
    <row r="72" spans="1:31" ht="12" customHeight="1" x14ac:dyDescent="0.25">
      <c r="A72" s="74" t="s">
        <v>61</v>
      </c>
      <c r="B72" s="69">
        <v>100</v>
      </c>
      <c r="C72" s="26">
        <v>1.94</v>
      </c>
      <c r="D72" s="26">
        <v>0.6</v>
      </c>
      <c r="E72" s="26">
        <v>0.82</v>
      </c>
      <c r="F72" s="26">
        <v>1.37</v>
      </c>
      <c r="G72" s="26">
        <v>0.63</v>
      </c>
      <c r="H72" s="26">
        <v>1.81</v>
      </c>
      <c r="I72" s="26">
        <v>1.62</v>
      </c>
      <c r="J72" s="26">
        <v>1.28</v>
      </c>
      <c r="K72" s="26">
        <v>1.18</v>
      </c>
      <c r="L72" s="26">
        <v>2.11</v>
      </c>
      <c r="M72" s="26">
        <v>1.58</v>
      </c>
      <c r="N72" s="26">
        <v>1.6</v>
      </c>
      <c r="O72" s="26">
        <v>2.16</v>
      </c>
      <c r="P72" s="26">
        <v>1.61</v>
      </c>
      <c r="Q72" s="26">
        <v>3.84</v>
      </c>
      <c r="R72" s="26">
        <v>3.71</v>
      </c>
      <c r="S72" s="26">
        <v>6.04</v>
      </c>
      <c r="T72" s="26">
        <v>5.44</v>
      </c>
      <c r="U72" s="26">
        <v>11.89</v>
      </c>
      <c r="V72" s="26">
        <v>17.11</v>
      </c>
      <c r="W72" s="26">
        <v>11.11</v>
      </c>
      <c r="X72" s="26">
        <v>7.11</v>
      </c>
      <c r="Y72" s="26">
        <v>8.49</v>
      </c>
      <c r="Z72" s="26">
        <v>4.53</v>
      </c>
      <c r="AA72" s="26">
        <v>0.33</v>
      </c>
      <c r="AB72" s="26">
        <v>7.0000000000000007E-2</v>
      </c>
      <c r="AC72" s="26" t="s">
        <v>189</v>
      </c>
      <c r="AD72" s="26">
        <v>0.01</v>
      </c>
      <c r="AE72" s="26" t="s">
        <v>189</v>
      </c>
    </row>
    <row r="73" spans="1:31" ht="12" customHeight="1" x14ac:dyDescent="0.25">
      <c r="A73" s="74" t="s">
        <v>62</v>
      </c>
      <c r="B73" s="69">
        <v>100</v>
      </c>
      <c r="C73" s="26">
        <v>0.43</v>
      </c>
      <c r="D73" s="26">
        <v>0.31</v>
      </c>
      <c r="E73" s="26">
        <v>0.33</v>
      </c>
      <c r="F73" s="26">
        <v>0.44</v>
      </c>
      <c r="G73" s="26">
        <v>0.26</v>
      </c>
      <c r="H73" s="26">
        <v>0.41</v>
      </c>
      <c r="I73" s="26">
        <v>0.49</v>
      </c>
      <c r="J73" s="26">
        <v>0.43</v>
      </c>
      <c r="K73" s="26">
        <v>0.41</v>
      </c>
      <c r="L73" s="26">
        <v>0.43</v>
      </c>
      <c r="M73" s="26">
        <v>0.52</v>
      </c>
      <c r="N73" s="26">
        <v>0.75</v>
      </c>
      <c r="O73" s="26">
        <v>0.74</v>
      </c>
      <c r="P73" s="26">
        <v>1.71</v>
      </c>
      <c r="Q73" s="26">
        <v>2.08</v>
      </c>
      <c r="R73" s="26">
        <v>2.0099999999999998</v>
      </c>
      <c r="S73" s="26">
        <v>2.2400000000000002</v>
      </c>
      <c r="T73" s="26">
        <v>2.96</v>
      </c>
      <c r="U73" s="26">
        <v>5.91</v>
      </c>
      <c r="V73" s="26">
        <v>10.44</v>
      </c>
      <c r="W73" s="26">
        <v>10.41</v>
      </c>
      <c r="X73" s="26">
        <v>10.91</v>
      </c>
      <c r="Y73" s="26">
        <v>19.5</v>
      </c>
      <c r="Z73" s="26">
        <v>23.55</v>
      </c>
      <c r="AA73" s="26">
        <v>1.91</v>
      </c>
      <c r="AB73" s="26">
        <v>0.36</v>
      </c>
      <c r="AC73" s="26">
        <v>0.03</v>
      </c>
      <c r="AD73" s="26">
        <v>0.01</v>
      </c>
      <c r="AE73" s="26">
        <v>0.02</v>
      </c>
    </row>
    <row r="74" spans="1:31" ht="12" customHeight="1" x14ac:dyDescent="0.25">
      <c r="A74" s="76" t="s">
        <v>63</v>
      </c>
      <c r="B74" s="69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1:31" ht="20.25" x14ac:dyDescent="0.25">
      <c r="A75" s="77" t="s">
        <v>64</v>
      </c>
      <c r="B75" s="69">
        <v>100</v>
      </c>
      <c r="C75" s="26">
        <v>0.31</v>
      </c>
      <c r="D75" s="26">
        <v>0.32</v>
      </c>
      <c r="E75" s="26">
        <v>0.28999999999999998</v>
      </c>
      <c r="F75" s="26">
        <v>0.22</v>
      </c>
      <c r="G75" s="26">
        <v>0.11</v>
      </c>
      <c r="H75" s="26">
        <v>0.24</v>
      </c>
      <c r="I75" s="26">
        <v>0.15</v>
      </c>
      <c r="J75" s="26">
        <v>0.34</v>
      </c>
      <c r="K75" s="26">
        <v>0.28000000000000003</v>
      </c>
      <c r="L75" s="26">
        <v>0.48</v>
      </c>
      <c r="M75" s="26">
        <v>0.45</v>
      </c>
      <c r="N75" s="26">
        <v>0.55000000000000004</v>
      </c>
      <c r="O75" s="26">
        <v>1.3</v>
      </c>
      <c r="P75" s="26">
        <v>3.97</v>
      </c>
      <c r="Q75" s="26">
        <v>3.07</v>
      </c>
      <c r="R75" s="26">
        <v>3.05</v>
      </c>
      <c r="S75" s="26">
        <v>2.71</v>
      </c>
      <c r="T75" s="26">
        <v>3.75</v>
      </c>
      <c r="U75" s="26">
        <v>7.91</v>
      </c>
      <c r="V75" s="26">
        <v>15.33</v>
      </c>
      <c r="W75" s="26">
        <v>12.63</v>
      </c>
      <c r="X75" s="26">
        <v>12.01</v>
      </c>
      <c r="Y75" s="26">
        <v>16.239999999999998</v>
      </c>
      <c r="Z75" s="26">
        <v>12.57</v>
      </c>
      <c r="AA75" s="26">
        <v>1.18</v>
      </c>
      <c r="AB75" s="26">
        <v>0.4</v>
      </c>
      <c r="AC75" s="26">
        <v>0.04</v>
      </c>
      <c r="AD75" s="26">
        <v>0.01</v>
      </c>
      <c r="AE75" s="26">
        <v>0.09</v>
      </c>
    </row>
    <row r="76" spans="1:31" ht="20.25" x14ac:dyDescent="0.25">
      <c r="A76" s="77" t="s">
        <v>92</v>
      </c>
      <c r="B76" s="69">
        <v>100</v>
      </c>
      <c r="C76" s="26">
        <v>0.44</v>
      </c>
      <c r="D76" s="26">
        <v>0.23</v>
      </c>
      <c r="E76" s="26">
        <v>0.24</v>
      </c>
      <c r="F76" s="26">
        <v>0.35</v>
      </c>
      <c r="G76" s="26">
        <v>0.28000000000000003</v>
      </c>
      <c r="H76" s="26">
        <v>0.41</v>
      </c>
      <c r="I76" s="26">
        <v>0.31</v>
      </c>
      <c r="J76" s="26">
        <v>0.32</v>
      </c>
      <c r="K76" s="26">
        <v>0.4</v>
      </c>
      <c r="L76" s="26">
        <v>0.3</v>
      </c>
      <c r="M76" s="26">
        <v>0.43</v>
      </c>
      <c r="N76" s="26">
        <v>0.4</v>
      </c>
      <c r="O76" s="26">
        <v>0.31</v>
      </c>
      <c r="P76" s="26">
        <v>0.73</v>
      </c>
      <c r="Q76" s="26">
        <v>1.29</v>
      </c>
      <c r="R76" s="26">
        <v>1.43</v>
      </c>
      <c r="S76" s="26">
        <v>1.76</v>
      </c>
      <c r="T76" s="26">
        <v>1.64</v>
      </c>
      <c r="U76" s="26">
        <v>4</v>
      </c>
      <c r="V76" s="26">
        <v>6.7</v>
      </c>
      <c r="W76" s="26">
        <v>6.93</v>
      </c>
      <c r="X76" s="26">
        <v>11.19</v>
      </c>
      <c r="Y76" s="26">
        <v>23.38</v>
      </c>
      <c r="Z76" s="26">
        <v>33.450000000000003</v>
      </c>
      <c r="AA76" s="26">
        <v>2.69</v>
      </c>
      <c r="AB76" s="26">
        <v>0.36</v>
      </c>
      <c r="AC76" s="26">
        <v>0.03</v>
      </c>
      <c r="AD76" s="26">
        <v>0.01</v>
      </c>
      <c r="AE76" s="26">
        <v>0</v>
      </c>
    </row>
    <row r="77" spans="1:31" ht="20.25" x14ac:dyDescent="0.25">
      <c r="A77" s="77" t="s">
        <v>88</v>
      </c>
      <c r="B77" s="69">
        <v>100</v>
      </c>
      <c r="C77" s="26">
        <v>0.56000000000000005</v>
      </c>
      <c r="D77" s="26">
        <v>0.5</v>
      </c>
      <c r="E77" s="26">
        <v>0.56000000000000005</v>
      </c>
      <c r="F77" s="26">
        <v>0.88</v>
      </c>
      <c r="G77" s="26">
        <v>0.37</v>
      </c>
      <c r="H77" s="26">
        <v>0.6</v>
      </c>
      <c r="I77" s="26">
        <v>1.24</v>
      </c>
      <c r="J77" s="26">
        <v>0.78</v>
      </c>
      <c r="K77" s="26">
        <v>0.56999999999999995</v>
      </c>
      <c r="L77" s="26">
        <v>0.63</v>
      </c>
      <c r="M77" s="26">
        <v>0.81</v>
      </c>
      <c r="N77" s="26">
        <v>1.72</v>
      </c>
      <c r="O77" s="26">
        <v>1.03</v>
      </c>
      <c r="P77" s="26">
        <v>1.28</v>
      </c>
      <c r="Q77" s="26">
        <v>2.66</v>
      </c>
      <c r="R77" s="26">
        <v>2.09</v>
      </c>
      <c r="S77" s="26">
        <v>2.73</v>
      </c>
      <c r="T77" s="26">
        <v>4.9000000000000004</v>
      </c>
      <c r="U77" s="26">
        <v>7.75</v>
      </c>
      <c r="V77" s="26">
        <v>13.01</v>
      </c>
      <c r="W77" s="26">
        <v>15.42</v>
      </c>
      <c r="X77" s="26">
        <v>9.06</v>
      </c>
      <c r="Y77" s="26">
        <v>14.84</v>
      </c>
      <c r="Z77" s="26">
        <v>14.59</v>
      </c>
      <c r="AA77" s="26">
        <v>1.06</v>
      </c>
      <c r="AB77" s="26">
        <v>0.33</v>
      </c>
      <c r="AC77" s="26">
        <v>0.01</v>
      </c>
      <c r="AD77" s="26">
        <v>0</v>
      </c>
      <c r="AE77" s="26" t="s">
        <v>189</v>
      </c>
    </row>
    <row r="78" spans="1:31" ht="12" customHeight="1" x14ac:dyDescent="0.25">
      <c r="A78" s="74" t="s">
        <v>66</v>
      </c>
      <c r="B78" s="69">
        <v>100</v>
      </c>
      <c r="C78" s="26">
        <v>1.64</v>
      </c>
      <c r="D78" s="26">
        <v>0.77</v>
      </c>
      <c r="E78" s="26">
        <v>0.87</v>
      </c>
      <c r="F78" s="26">
        <v>3.32</v>
      </c>
      <c r="G78" s="26">
        <v>2.69</v>
      </c>
      <c r="H78" s="26">
        <v>3.37</v>
      </c>
      <c r="I78" s="26">
        <v>2.93</v>
      </c>
      <c r="J78" s="26">
        <v>2.97</v>
      </c>
      <c r="K78" s="26">
        <v>1.89</v>
      </c>
      <c r="L78" s="26">
        <v>2.67</v>
      </c>
      <c r="M78" s="26">
        <v>2.52</v>
      </c>
      <c r="N78" s="26">
        <v>3.04</v>
      </c>
      <c r="O78" s="26">
        <v>2.6</v>
      </c>
      <c r="P78" s="26">
        <v>2.89</v>
      </c>
      <c r="Q78" s="26">
        <v>6.19</v>
      </c>
      <c r="R78" s="26">
        <v>4.9000000000000004</v>
      </c>
      <c r="S78" s="26">
        <v>5.53</v>
      </c>
      <c r="T78" s="26">
        <v>5.53</v>
      </c>
      <c r="U78" s="26">
        <v>10.27</v>
      </c>
      <c r="V78" s="26">
        <v>12.4</v>
      </c>
      <c r="W78" s="26">
        <v>7.89</v>
      </c>
      <c r="X78" s="26">
        <v>4.55</v>
      </c>
      <c r="Y78" s="26">
        <v>5.37</v>
      </c>
      <c r="Z78" s="26">
        <v>2.86</v>
      </c>
      <c r="AA78" s="26">
        <v>0.33</v>
      </c>
      <c r="AB78" s="26">
        <v>0.02</v>
      </c>
      <c r="AC78" s="26" t="s">
        <v>189</v>
      </c>
      <c r="AD78" s="66" t="s">
        <v>189</v>
      </c>
      <c r="AE78" s="26">
        <v>0.02</v>
      </c>
    </row>
    <row r="79" spans="1:31" s="4" customFormat="1" ht="21.75" customHeight="1" x14ac:dyDescent="0.25">
      <c r="A79" s="73" t="s">
        <v>116</v>
      </c>
      <c r="B79" s="40">
        <v>100</v>
      </c>
      <c r="C79" s="18">
        <v>0.53</v>
      </c>
      <c r="D79" s="18">
        <v>0.17</v>
      </c>
      <c r="E79" s="18">
        <v>0.36</v>
      </c>
      <c r="F79" s="18">
        <v>0.45</v>
      </c>
      <c r="G79" s="18">
        <v>0.52</v>
      </c>
      <c r="H79" s="18">
        <v>0.76</v>
      </c>
      <c r="I79" s="18">
        <v>1.1499999999999999</v>
      </c>
      <c r="J79" s="18">
        <v>1.8</v>
      </c>
      <c r="K79" s="18">
        <v>1.56</v>
      </c>
      <c r="L79" s="18">
        <v>1.7</v>
      </c>
      <c r="M79" s="18">
        <v>1.31</v>
      </c>
      <c r="N79" s="18">
        <v>1.37</v>
      </c>
      <c r="O79" s="18">
        <v>1.37</v>
      </c>
      <c r="P79" s="18">
        <v>1.25</v>
      </c>
      <c r="Q79" s="18">
        <v>2.84</v>
      </c>
      <c r="R79" s="18">
        <v>3.01</v>
      </c>
      <c r="S79" s="18">
        <v>3.68</v>
      </c>
      <c r="T79" s="18">
        <v>4.68</v>
      </c>
      <c r="U79" s="18">
        <v>8.6199999999999992</v>
      </c>
      <c r="V79" s="18">
        <v>12.8</v>
      </c>
      <c r="W79" s="18">
        <v>10.24</v>
      </c>
      <c r="X79" s="18">
        <v>8.61</v>
      </c>
      <c r="Y79" s="18">
        <v>13.62</v>
      </c>
      <c r="Z79" s="18">
        <v>15.62</v>
      </c>
      <c r="AA79" s="18">
        <v>1.69</v>
      </c>
      <c r="AB79" s="18">
        <v>0.25</v>
      </c>
      <c r="AC79" s="18">
        <v>0.02</v>
      </c>
      <c r="AD79" s="18">
        <v>0.01</v>
      </c>
      <c r="AE79" s="18">
        <v>0.01</v>
      </c>
    </row>
    <row r="80" spans="1:31" ht="12" customHeight="1" x14ac:dyDescent="0.25">
      <c r="A80" s="74" t="s">
        <v>67</v>
      </c>
      <c r="B80" s="69">
        <v>100</v>
      </c>
      <c r="C80" s="26">
        <v>4.2699999999999996</v>
      </c>
      <c r="D80" s="26" t="s">
        <v>189</v>
      </c>
      <c r="E80" s="26">
        <v>1.95</v>
      </c>
      <c r="F80" s="26">
        <v>0.85</v>
      </c>
      <c r="G80" s="26" t="s">
        <v>189</v>
      </c>
      <c r="H80" s="26">
        <v>7.31</v>
      </c>
      <c r="I80" s="26" t="s">
        <v>189</v>
      </c>
      <c r="J80" s="26">
        <v>0.85</v>
      </c>
      <c r="K80" s="26">
        <v>2.69</v>
      </c>
      <c r="L80" s="26">
        <v>0.73</v>
      </c>
      <c r="M80" s="26">
        <v>1.1000000000000001</v>
      </c>
      <c r="N80" s="26">
        <v>2.57</v>
      </c>
      <c r="O80" s="26">
        <v>1.83</v>
      </c>
      <c r="P80" s="26">
        <v>3.3</v>
      </c>
      <c r="Q80" s="26">
        <v>9.89</v>
      </c>
      <c r="R80" s="26">
        <v>2.57</v>
      </c>
      <c r="S80" s="26">
        <v>5.74</v>
      </c>
      <c r="T80" s="26">
        <v>5.13</v>
      </c>
      <c r="U80" s="26">
        <v>10.02</v>
      </c>
      <c r="V80" s="26">
        <v>13.8</v>
      </c>
      <c r="W80" s="26">
        <v>10.14</v>
      </c>
      <c r="X80" s="26">
        <v>7.82</v>
      </c>
      <c r="Y80" s="26">
        <v>6.35</v>
      </c>
      <c r="Z80" s="26">
        <v>0.73</v>
      </c>
      <c r="AA80" s="26" t="s">
        <v>189</v>
      </c>
      <c r="AB80" s="26">
        <v>0.37</v>
      </c>
      <c r="AC80" s="26" t="s">
        <v>189</v>
      </c>
      <c r="AD80" s="26" t="s">
        <v>189</v>
      </c>
      <c r="AE80" s="26" t="s">
        <v>189</v>
      </c>
    </row>
    <row r="81" spans="1:31" ht="12" customHeight="1" x14ac:dyDescent="0.25">
      <c r="A81" s="74" t="s">
        <v>69</v>
      </c>
      <c r="B81" s="69">
        <v>100</v>
      </c>
      <c r="C81" s="26">
        <v>0.17</v>
      </c>
      <c r="D81" s="26">
        <v>0.12</v>
      </c>
      <c r="E81" s="26">
        <v>0.93</v>
      </c>
      <c r="F81" s="26">
        <v>0.35</v>
      </c>
      <c r="G81" s="26">
        <v>0.23</v>
      </c>
      <c r="H81" s="26">
        <v>0.7</v>
      </c>
      <c r="I81" s="26">
        <v>0.7</v>
      </c>
      <c r="J81" s="26">
        <v>0.57999999999999996</v>
      </c>
      <c r="K81" s="26">
        <v>0.64</v>
      </c>
      <c r="L81" s="26">
        <v>0.35</v>
      </c>
      <c r="M81" s="26">
        <v>1.92</v>
      </c>
      <c r="N81" s="26">
        <v>4.3</v>
      </c>
      <c r="O81" s="26">
        <v>2.85</v>
      </c>
      <c r="P81" s="26">
        <v>1.68</v>
      </c>
      <c r="Q81" s="26">
        <v>5.05</v>
      </c>
      <c r="R81" s="26">
        <v>2.96</v>
      </c>
      <c r="S81" s="26">
        <v>4.18</v>
      </c>
      <c r="T81" s="26">
        <v>5.81</v>
      </c>
      <c r="U81" s="26">
        <v>11.44</v>
      </c>
      <c r="V81" s="26">
        <v>12.66</v>
      </c>
      <c r="W81" s="26">
        <v>8.94</v>
      </c>
      <c r="X81" s="26">
        <v>6.79</v>
      </c>
      <c r="Y81" s="26">
        <v>16.96</v>
      </c>
      <c r="Z81" s="26">
        <v>9.52</v>
      </c>
      <c r="AA81" s="26">
        <v>0.17</v>
      </c>
      <c r="AB81" s="26" t="s">
        <v>189</v>
      </c>
      <c r="AC81" s="26" t="s">
        <v>189</v>
      </c>
      <c r="AD81" s="26" t="s">
        <v>189</v>
      </c>
      <c r="AE81" s="26" t="s">
        <v>189</v>
      </c>
    </row>
    <row r="82" spans="1:31" ht="12" customHeight="1" x14ac:dyDescent="0.25">
      <c r="A82" s="74" t="s">
        <v>70</v>
      </c>
      <c r="B82" s="69">
        <v>100</v>
      </c>
      <c r="C82" s="26" t="s">
        <v>189</v>
      </c>
      <c r="D82" s="26" t="s">
        <v>189</v>
      </c>
      <c r="E82" s="26">
        <v>1.1599999999999999</v>
      </c>
      <c r="F82" s="26">
        <v>0.17</v>
      </c>
      <c r="G82" s="26">
        <v>0.39</v>
      </c>
      <c r="H82" s="26">
        <v>0.39</v>
      </c>
      <c r="I82" s="26">
        <v>0.86</v>
      </c>
      <c r="J82" s="26">
        <v>3.64</v>
      </c>
      <c r="K82" s="26">
        <v>1.03</v>
      </c>
      <c r="L82" s="26">
        <v>1.88</v>
      </c>
      <c r="M82" s="26">
        <v>1.6</v>
      </c>
      <c r="N82" s="26">
        <v>1.75</v>
      </c>
      <c r="O82" s="26">
        <v>0.94</v>
      </c>
      <c r="P82" s="26">
        <v>1.98</v>
      </c>
      <c r="Q82" s="26">
        <v>3.3</v>
      </c>
      <c r="R82" s="26">
        <v>2.75</v>
      </c>
      <c r="S82" s="26">
        <v>2.8</v>
      </c>
      <c r="T82" s="26">
        <v>3.78</v>
      </c>
      <c r="U82" s="26">
        <v>13.4</v>
      </c>
      <c r="V82" s="26">
        <v>22.34</v>
      </c>
      <c r="W82" s="26">
        <v>9.67</v>
      </c>
      <c r="X82" s="26">
        <v>5.33</v>
      </c>
      <c r="Y82" s="26">
        <v>7.87</v>
      </c>
      <c r="Z82" s="26">
        <v>11.95</v>
      </c>
      <c r="AA82" s="26">
        <v>0.95</v>
      </c>
      <c r="AB82" s="26">
        <v>0.09</v>
      </c>
      <c r="AC82" s="26" t="s">
        <v>189</v>
      </c>
      <c r="AD82" s="26" t="s">
        <v>189</v>
      </c>
      <c r="AE82" s="26" t="s">
        <v>189</v>
      </c>
    </row>
    <row r="83" spans="1:31" ht="12" customHeight="1" x14ac:dyDescent="0.25">
      <c r="A83" s="74" t="s">
        <v>71</v>
      </c>
      <c r="B83" s="69">
        <v>100</v>
      </c>
      <c r="C83" s="26">
        <v>0.93</v>
      </c>
      <c r="D83" s="26">
        <v>0.34</v>
      </c>
      <c r="E83" s="26">
        <v>0.56999999999999995</v>
      </c>
      <c r="F83" s="26">
        <v>1.56</v>
      </c>
      <c r="G83" s="26">
        <v>2.04</v>
      </c>
      <c r="H83" s="26">
        <v>2.1</v>
      </c>
      <c r="I83" s="26">
        <v>2.73</v>
      </c>
      <c r="J83" s="26">
        <v>2.02</v>
      </c>
      <c r="K83" s="26">
        <v>2.15</v>
      </c>
      <c r="L83" s="26">
        <v>2.17</v>
      </c>
      <c r="M83" s="26">
        <v>1.68</v>
      </c>
      <c r="N83" s="26">
        <v>2.99</v>
      </c>
      <c r="O83" s="26">
        <v>1.63</v>
      </c>
      <c r="P83" s="26">
        <v>2.95</v>
      </c>
      <c r="Q83" s="26">
        <v>5.62</v>
      </c>
      <c r="R83" s="26">
        <v>5.5</v>
      </c>
      <c r="S83" s="26">
        <v>6.81</v>
      </c>
      <c r="T83" s="26">
        <v>6.14</v>
      </c>
      <c r="U83" s="26">
        <v>10.51</v>
      </c>
      <c r="V83" s="26">
        <v>12.38</v>
      </c>
      <c r="W83" s="26">
        <v>8.1300000000000008</v>
      </c>
      <c r="X83" s="26">
        <v>6.08</v>
      </c>
      <c r="Y83" s="26">
        <v>8.9700000000000006</v>
      </c>
      <c r="Z83" s="26">
        <v>3.97</v>
      </c>
      <c r="AA83" s="26">
        <v>0.03</v>
      </c>
      <c r="AB83" s="26" t="s">
        <v>189</v>
      </c>
      <c r="AC83" s="26" t="s">
        <v>189</v>
      </c>
      <c r="AD83" s="26" t="s">
        <v>189</v>
      </c>
      <c r="AE83" s="26" t="s">
        <v>189</v>
      </c>
    </row>
    <row r="84" spans="1:31" ht="12" customHeight="1" x14ac:dyDescent="0.25">
      <c r="A84" s="75" t="s">
        <v>73</v>
      </c>
      <c r="B84" s="69">
        <v>100</v>
      </c>
      <c r="C84" s="26">
        <v>0.4</v>
      </c>
      <c r="D84" s="26">
        <v>0.04</v>
      </c>
      <c r="E84" s="26">
        <v>0.09</v>
      </c>
      <c r="F84" s="26">
        <v>0.22</v>
      </c>
      <c r="G84" s="26">
        <v>0.23</v>
      </c>
      <c r="H84" s="26">
        <v>0.51</v>
      </c>
      <c r="I84" s="26">
        <v>0.49</v>
      </c>
      <c r="J84" s="26">
        <v>1.54</v>
      </c>
      <c r="K84" s="26">
        <v>1.94</v>
      </c>
      <c r="L84" s="26">
        <v>2.0299999999999998</v>
      </c>
      <c r="M84" s="26">
        <v>1.66</v>
      </c>
      <c r="N84" s="26">
        <v>1.2</v>
      </c>
      <c r="O84" s="26">
        <v>0.97</v>
      </c>
      <c r="P84" s="26">
        <v>0.77</v>
      </c>
      <c r="Q84" s="26">
        <v>1.55</v>
      </c>
      <c r="R84" s="26">
        <v>2.02</v>
      </c>
      <c r="S84" s="26">
        <v>2.15</v>
      </c>
      <c r="T84" s="26">
        <v>2.67</v>
      </c>
      <c r="U84" s="26">
        <v>5.89</v>
      </c>
      <c r="V84" s="26">
        <v>9.32</v>
      </c>
      <c r="W84" s="26">
        <v>8.0399999999999991</v>
      </c>
      <c r="X84" s="26">
        <v>6.96</v>
      </c>
      <c r="Y84" s="26">
        <v>17.11</v>
      </c>
      <c r="Z84" s="26">
        <v>28.2</v>
      </c>
      <c r="AA84" s="26">
        <v>3.66</v>
      </c>
      <c r="AB84" s="26">
        <v>0.28999999999999998</v>
      </c>
      <c r="AC84" s="26">
        <v>0.01</v>
      </c>
      <c r="AD84" s="26">
        <v>0.01</v>
      </c>
      <c r="AE84" s="26">
        <v>0.01</v>
      </c>
    </row>
    <row r="85" spans="1:31" ht="12" customHeight="1" x14ac:dyDescent="0.25">
      <c r="A85" s="74" t="s">
        <v>74</v>
      </c>
      <c r="B85" s="69">
        <v>100</v>
      </c>
      <c r="C85" s="26">
        <v>0.18</v>
      </c>
      <c r="D85" s="26">
        <v>0.08</v>
      </c>
      <c r="E85" s="26">
        <v>0.25</v>
      </c>
      <c r="F85" s="26">
        <v>0.16</v>
      </c>
      <c r="G85" s="26">
        <v>0.62</v>
      </c>
      <c r="H85" s="26">
        <v>0.6</v>
      </c>
      <c r="I85" s="26">
        <v>1.93</v>
      </c>
      <c r="J85" s="26">
        <v>1.47</v>
      </c>
      <c r="K85" s="26">
        <v>1.62</v>
      </c>
      <c r="L85" s="26">
        <v>0.99</v>
      </c>
      <c r="M85" s="26">
        <v>0.9</v>
      </c>
      <c r="N85" s="26">
        <v>0.89</v>
      </c>
      <c r="O85" s="26">
        <v>1.4</v>
      </c>
      <c r="P85" s="26">
        <v>0.96</v>
      </c>
      <c r="Q85" s="26">
        <v>2.08</v>
      </c>
      <c r="R85" s="26">
        <v>1.86</v>
      </c>
      <c r="S85" s="26">
        <v>2.4900000000000002</v>
      </c>
      <c r="T85" s="26">
        <v>3.31</v>
      </c>
      <c r="U85" s="26">
        <v>8.0500000000000007</v>
      </c>
      <c r="V85" s="26">
        <v>11.67</v>
      </c>
      <c r="W85" s="26">
        <v>11.06</v>
      </c>
      <c r="X85" s="26">
        <v>10.82</v>
      </c>
      <c r="Y85" s="26">
        <v>15.51</v>
      </c>
      <c r="Z85" s="26">
        <v>19.57</v>
      </c>
      <c r="AA85" s="26">
        <v>1.27</v>
      </c>
      <c r="AB85" s="26">
        <v>0.26</v>
      </c>
      <c r="AC85" s="26" t="s">
        <v>189</v>
      </c>
      <c r="AD85" s="26" t="s">
        <v>189</v>
      </c>
      <c r="AE85" s="26" t="s">
        <v>189</v>
      </c>
    </row>
    <row r="86" spans="1:31" ht="12" customHeight="1" x14ac:dyDescent="0.25">
      <c r="A86" s="74" t="s">
        <v>184</v>
      </c>
      <c r="B86" s="70">
        <v>100</v>
      </c>
      <c r="C86" s="26">
        <v>0.75</v>
      </c>
      <c r="D86" s="26">
        <v>0.18</v>
      </c>
      <c r="E86" s="26">
        <v>0.14000000000000001</v>
      </c>
      <c r="F86" s="26">
        <v>0.28000000000000003</v>
      </c>
      <c r="G86" s="26">
        <v>0.1</v>
      </c>
      <c r="H86" s="26">
        <v>0.52</v>
      </c>
      <c r="I86" s="26">
        <v>0.64</v>
      </c>
      <c r="J86" s="26">
        <v>0.78</v>
      </c>
      <c r="K86" s="26">
        <v>0.65</v>
      </c>
      <c r="L86" s="26">
        <v>2.37</v>
      </c>
      <c r="M86" s="26">
        <v>1.56</v>
      </c>
      <c r="N86" s="26">
        <v>1.7</v>
      </c>
      <c r="O86" s="26">
        <v>1.17</v>
      </c>
      <c r="P86" s="26">
        <v>1.25</v>
      </c>
      <c r="Q86" s="26">
        <v>3.37</v>
      </c>
      <c r="R86" s="26">
        <v>4.37</v>
      </c>
      <c r="S86" s="26">
        <v>4.3099999999999996</v>
      </c>
      <c r="T86" s="26">
        <v>5.57</v>
      </c>
      <c r="U86" s="26">
        <v>10.24</v>
      </c>
      <c r="V86" s="26">
        <v>16.04</v>
      </c>
      <c r="W86" s="26">
        <v>12.18</v>
      </c>
      <c r="X86" s="26">
        <v>9.19</v>
      </c>
      <c r="Y86" s="26">
        <v>12.54</v>
      </c>
      <c r="Z86" s="26">
        <v>8.65</v>
      </c>
      <c r="AA86" s="26">
        <v>1.0900000000000001</v>
      </c>
      <c r="AB86" s="26">
        <v>0.27</v>
      </c>
      <c r="AC86" s="26">
        <v>0.06</v>
      </c>
      <c r="AD86" s="26">
        <v>0.02</v>
      </c>
      <c r="AE86" s="26">
        <v>0.02</v>
      </c>
    </row>
    <row r="87" spans="1:31" ht="12" customHeight="1" x14ac:dyDescent="0.25">
      <c r="A87" s="74" t="s">
        <v>75</v>
      </c>
      <c r="B87" s="69">
        <v>100</v>
      </c>
      <c r="C87" s="26">
        <v>0.76</v>
      </c>
      <c r="D87" s="26">
        <v>0.12</v>
      </c>
      <c r="E87" s="26">
        <v>0.08</v>
      </c>
      <c r="F87" s="26">
        <v>0.42</v>
      </c>
      <c r="G87" s="26">
        <v>0.43</v>
      </c>
      <c r="H87" s="26">
        <v>1</v>
      </c>
      <c r="I87" s="26">
        <v>1.92</v>
      </c>
      <c r="J87" s="26">
        <v>4.16</v>
      </c>
      <c r="K87" s="26">
        <v>2.2000000000000002</v>
      </c>
      <c r="L87" s="26">
        <v>1.85</v>
      </c>
      <c r="M87" s="26">
        <v>1.53</v>
      </c>
      <c r="N87" s="26">
        <v>1.38</v>
      </c>
      <c r="O87" s="26">
        <v>2.48</v>
      </c>
      <c r="P87" s="26">
        <v>1.98</v>
      </c>
      <c r="Q87" s="26">
        <v>4.5599999999999996</v>
      </c>
      <c r="R87" s="26">
        <v>5.85</v>
      </c>
      <c r="S87" s="26">
        <v>5.86</v>
      </c>
      <c r="T87" s="26">
        <v>5.93</v>
      </c>
      <c r="U87" s="26">
        <v>11.58</v>
      </c>
      <c r="V87" s="26">
        <v>13.71</v>
      </c>
      <c r="W87" s="26">
        <v>10.35</v>
      </c>
      <c r="X87" s="26">
        <v>7.63</v>
      </c>
      <c r="Y87" s="26">
        <v>7.49</v>
      </c>
      <c r="Z87" s="26">
        <v>5.99</v>
      </c>
      <c r="AA87" s="26">
        <v>0.56000000000000005</v>
      </c>
      <c r="AB87" s="26">
        <v>0.1</v>
      </c>
      <c r="AC87" s="26" t="s">
        <v>189</v>
      </c>
      <c r="AD87" s="26">
        <v>0.06</v>
      </c>
      <c r="AE87" s="26">
        <v>0.03</v>
      </c>
    </row>
    <row r="88" spans="1:31" ht="12" customHeight="1" x14ac:dyDescent="0.25">
      <c r="A88" s="74" t="s">
        <v>76</v>
      </c>
      <c r="B88" s="69">
        <v>100</v>
      </c>
      <c r="C88" s="26">
        <v>0.79</v>
      </c>
      <c r="D88" s="26">
        <v>0.46</v>
      </c>
      <c r="E88" s="26">
        <v>0.59</v>
      </c>
      <c r="F88" s="26">
        <v>1.03</v>
      </c>
      <c r="G88" s="26">
        <v>0.51</v>
      </c>
      <c r="H88" s="26">
        <v>0.88</v>
      </c>
      <c r="I88" s="26">
        <v>0.67</v>
      </c>
      <c r="J88" s="26">
        <v>0.65</v>
      </c>
      <c r="K88" s="26">
        <v>0.88</v>
      </c>
      <c r="L88" s="26">
        <v>1.49</v>
      </c>
      <c r="M88" s="26">
        <v>0.7</v>
      </c>
      <c r="N88" s="26">
        <v>0.89</v>
      </c>
      <c r="O88" s="26">
        <v>0.98</v>
      </c>
      <c r="P88" s="26">
        <v>1.1599999999999999</v>
      </c>
      <c r="Q88" s="26">
        <v>2.36</v>
      </c>
      <c r="R88" s="26">
        <v>2.6</v>
      </c>
      <c r="S88" s="26">
        <v>4.8</v>
      </c>
      <c r="T88" s="26">
        <v>8.42</v>
      </c>
      <c r="U88" s="26">
        <v>7.87</v>
      </c>
      <c r="V88" s="26">
        <v>12.99</v>
      </c>
      <c r="W88" s="26">
        <v>11.13</v>
      </c>
      <c r="X88" s="26">
        <v>10.46</v>
      </c>
      <c r="Y88" s="26">
        <v>13.81</v>
      </c>
      <c r="Z88" s="26">
        <v>11.75</v>
      </c>
      <c r="AA88" s="26">
        <v>1.69</v>
      </c>
      <c r="AB88" s="26">
        <v>0.41</v>
      </c>
      <c r="AC88" s="26">
        <v>0.06</v>
      </c>
      <c r="AD88" s="26" t="s">
        <v>189</v>
      </c>
      <c r="AE88" s="26" t="s">
        <v>189</v>
      </c>
    </row>
    <row r="89" spans="1:31" ht="12" customHeight="1" x14ac:dyDescent="0.25">
      <c r="A89" s="74" t="s">
        <v>77</v>
      </c>
      <c r="B89" s="69">
        <v>100</v>
      </c>
      <c r="C89" s="26">
        <v>0.47</v>
      </c>
      <c r="D89" s="26">
        <v>0.52</v>
      </c>
      <c r="E89" s="26">
        <v>1.56</v>
      </c>
      <c r="F89" s="26">
        <v>1.08</v>
      </c>
      <c r="G89" s="26">
        <v>1.82</v>
      </c>
      <c r="H89" s="26">
        <v>1.0900000000000001</v>
      </c>
      <c r="I89" s="26">
        <v>1.35</v>
      </c>
      <c r="J89" s="26">
        <v>5.37</v>
      </c>
      <c r="K89" s="26">
        <v>3.3</v>
      </c>
      <c r="L89" s="26">
        <v>1.35</v>
      </c>
      <c r="M89" s="26">
        <v>0.93</v>
      </c>
      <c r="N89" s="26">
        <v>0.95</v>
      </c>
      <c r="O89" s="26">
        <v>1.69</v>
      </c>
      <c r="P89" s="26">
        <v>0.86</v>
      </c>
      <c r="Q89" s="26">
        <v>3.47</v>
      </c>
      <c r="R89" s="26">
        <v>1.23</v>
      </c>
      <c r="S89" s="26">
        <v>3.64</v>
      </c>
      <c r="T89" s="26">
        <v>3.15</v>
      </c>
      <c r="U89" s="26">
        <v>7.89</v>
      </c>
      <c r="V89" s="26">
        <v>14.93</v>
      </c>
      <c r="W89" s="26">
        <v>11.49</v>
      </c>
      <c r="X89" s="26">
        <v>8.01</v>
      </c>
      <c r="Y89" s="26">
        <v>11.98</v>
      </c>
      <c r="Z89" s="26">
        <v>10.26</v>
      </c>
      <c r="AA89" s="26">
        <v>1.35</v>
      </c>
      <c r="AB89" s="26">
        <v>0.22</v>
      </c>
      <c r="AC89" s="26">
        <v>0.03</v>
      </c>
      <c r="AD89" s="26" t="s">
        <v>189</v>
      </c>
      <c r="AE89" s="26" t="s">
        <v>189</v>
      </c>
    </row>
    <row r="90" spans="1:31" s="4" customFormat="1" ht="23.25" customHeight="1" x14ac:dyDescent="0.25">
      <c r="A90" s="73" t="s">
        <v>117</v>
      </c>
      <c r="B90" s="40">
        <v>100</v>
      </c>
      <c r="C90" s="18">
        <v>1.2</v>
      </c>
      <c r="D90" s="18">
        <v>0.19</v>
      </c>
      <c r="E90" s="18">
        <v>0.2</v>
      </c>
      <c r="F90" s="18">
        <v>0.2</v>
      </c>
      <c r="G90" s="18">
        <v>0.14000000000000001</v>
      </c>
      <c r="H90" s="18">
        <v>0.38</v>
      </c>
      <c r="I90" s="18">
        <v>0.37</v>
      </c>
      <c r="J90" s="18">
        <v>0.56999999999999995</v>
      </c>
      <c r="K90" s="18">
        <v>0.53</v>
      </c>
      <c r="L90" s="18">
        <v>0.56999999999999995</v>
      </c>
      <c r="M90" s="18">
        <v>0.45</v>
      </c>
      <c r="N90" s="18">
        <v>0.51</v>
      </c>
      <c r="O90" s="18">
        <v>0.5</v>
      </c>
      <c r="P90" s="18">
        <v>0.85</v>
      </c>
      <c r="Q90" s="18">
        <v>2.46</v>
      </c>
      <c r="R90" s="18">
        <v>1.46</v>
      </c>
      <c r="S90" s="18">
        <v>1.58</v>
      </c>
      <c r="T90" s="18">
        <v>2.2000000000000002</v>
      </c>
      <c r="U90" s="18">
        <v>5.54</v>
      </c>
      <c r="V90" s="18">
        <v>10.58</v>
      </c>
      <c r="W90" s="18">
        <v>10.95</v>
      </c>
      <c r="X90" s="18">
        <v>9.89</v>
      </c>
      <c r="Y90" s="18">
        <v>17.63</v>
      </c>
      <c r="Z90" s="18">
        <v>27.35</v>
      </c>
      <c r="AA90" s="18">
        <v>3.24</v>
      </c>
      <c r="AB90" s="18">
        <v>0.42</v>
      </c>
      <c r="AC90" s="18">
        <v>0.03</v>
      </c>
      <c r="AD90" s="18">
        <v>0.01</v>
      </c>
      <c r="AE90" s="18" t="s">
        <v>189</v>
      </c>
    </row>
    <row r="91" spans="1:31" ht="12" customHeight="1" x14ac:dyDescent="0.25">
      <c r="A91" s="74" t="s">
        <v>68</v>
      </c>
      <c r="B91" s="69">
        <v>100</v>
      </c>
      <c r="C91" s="26">
        <v>0.95</v>
      </c>
      <c r="D91" s="26">
        <v>0.19</v>
      </c>
      <c r="E91" s="26" t="s">
        <v>189</v>
      </c>
      <c r="F91" s="26">
        <v>0.7</v>
      </c>
      <c r="G91" s="26">
        <v>0.28000000000000003</v>
      </c>
      <c r="H91" s="26">
        <v>0.56999999999999995</v>
      </c>
      <c r="I91" s="26">
        <v>1.23</v>
      </c>
      <c r="J91" s="26">
        <v>1.52</v>
      </c>
      <c r="K91" s="26">
        <v>0.47</v>
      </c>
      <c r="L91" s="26">
        <v>1.52</v>
      </c>
      <c r="M91" s="26">
        <v>0.47</v>
      </c>
      <c r="N91" s="26">
        <v>0.8</v>
      </c>
      <c r="O91" s="26">
        <v>1.08</v>
      </c>
      <c r="P91" s="26">
        <v>0.76</v>
      </c>
      <c r="Q91" s="26">
        <v>3.32</v>
      </c>
      <c r="R91" s="26">
        <v>2.5299999999999998</v>
      </c>
      <c r="S91" s="26">
        <v>1.99</v>
      </c>
      <c r="T91" s="26">
        <v>3.13</v>
      </c>
      <c r="U91" s="26">
        <v>6.48</v>
      </c>
      <c r="V91" s="26">
        <v>19.350000000000001</v>
      </c>
      <c r="W91" s="26">
        <v>11.27</v>
      </c>
      <c r="X91" s="26">
        <v>11.5</v>
      </c>
      <c r="Y91" s="26">
        <v>18.63</v>
      </c>
      <c r="Z91" s="26">
        <v>10.6</v>
      </c>
      <c r="AA91" s="26">
        <v>0.66</v>
      </c>
      <c r="AB91" s="26" t="s">
        <v>189</v>
      </c>
      <c r="AC91" s="26" t="s">
        <v>189</v>
      </c>
      <c r="AD91" s="26" t="s">
        <v>189</v>
      </c>
      <c r="AE91" s="26" t="s">
        <v>189</v>
      </c>
    </row>
    <row r="92" spans="1:31" ht="12" customHeight="1" x14ac:dyDescent="0.25">
      <c r="A92" s="74" t="s">
        <v>78</v>
      </c>
      <c r="B92" s="69">
        <v>100</v>
      </c>
      <c r="C92" s="26">
        <v>1.02</v>
      </c>
      <c r="D92" s="26">
        <v>0.2</v>
      </c>
      <c r="E92" s="26">
        <v>0.2</v>
      </c>
      <c r="F92" s="26">
        <v>0.24</v>
      </c>
      <c r="G92" s="26">
        <v>0.15</v>
      </c>
      <c r="H92" s="26">
        <v>0.63</v>
      </c>
      <c r="I92" s="26">
        <v>0.43</v>
      </c>
      <c r="J92" s="26">
        <v>0.44</v>
      </c>
      <c r="K92" s="26">
        <v>0.69</v>
      </c>
      <c r="L92" s="26">
        <v>0.83</v>
      </c>
      <c r="M92" s="26">
        <v>0.37</v>
      </c>
      <c r="N92" s="26">
        <v>0.6</v>
      </c>
      <c r="O92" s="26">
        <v>0.49</v>
      </c>
      <c r="P92" s="26">
        <v>1.66</v>
      </c>
      <c r="Q92" s="26">
        <v>0.82</v>
      </c>
      <c r="R92" s="26">
        <v>1.2</v>
      </c>
      <c r="S92" s="26">
        <v>1.24</v>
      </c>
      <c r="T92" s="26">
        <v>1.42</v>
      </c>
      <c r="U92" s="26">
        <v>2.78</v>
      </c>
      <c r="V92" s="26">
        <v>5.54</v>
      </c>
      <c r="W92" s="26">
        <v>6.8</v>
      </c>
      <c r="X92" s="26">
        <v>7.89</v>
      </c>
      <c r="Y92" s="26">
        <v>20.260000000000002</v>
      </c>
      <c r="Z92" s="26">
        <v>40.42</v>
      </c>
      <c r="AA92" s="26">
        <v>3.52</v>
      </c>
      <c r="AB92" s="26">
        <v>0.16</v>
      </c>
      <c r="AC92" s="26" t="s">
        <v>189</v>
      </c>
      <c r="AD92" s="26">
        <v>0</v>
      </c>
      <c r="AE92" s="26" t="s">
        <v>189</v>
      </c>
    </row>
    <row r="93" spans="1:31" s="5" customFormat="1" ht="12" customHeight="1" x14ac:dyDescent="0.25">
      <c r="A93" s="74" t="s">
        <v>72</v>
      </c>
      <c r="B93" s="69">
        <v>100</v>
      </c>
      <c r="C93" s="26">
        <v>0.06</v>
      </c>
      <c r="D93" s="26">
        <v>0.02</v>
      </c>
      <c r="E93" s="26">
        <v>0.17</v>
      </c>
      <c r="F93" s="26">
        <v>0.13</v>
      </c>
      <c r="G93" s="26">
        <v>7.0000000000000007E-2</v>
      </c>
      <c r="H93" s="26">
        <v>0.39</v>
      </c>
      <c r="I93" s="26">
        <v>1.23</v>
      </c>
      <c r="J93" s="26">
        <v>1.34</v>
      </c>
      <c r="K93" s="26">
        <v>0.66</v>
      </c>
      <c r="L93" s="26">
        <v>1.45</v>
      </c>
      <c r="M93" s="26">
        <v>0.42</v>
      </c>
      <c r="N93" s="26">
        <v>0.96</v>
      </c>
      <c r="O93" s="26">
        <v>0.77</v>
      </c>
      <c r="P93" s="26">
        <v>0.96</v>
      </c>
      <c r="Q93" s="26">
        <v>2.46</v>
      </c>
      <c r="R93" s="26">
        <v>2.61</v>
      </c>
      <c r="S93" s="26">
        <v>3.62</v>
      </c>
      <c r="T93" s="26">
        <v>4.6900000000000004</v>
      </c>
      <c r="U93" s="26">
        <v>7.58</v>
      </c>
      <c r="V93" s="26">
        <v>14.97</v>
      </c>
      <c r="W93" s="26">
        <v>14.93</v>
      </c>
      <c r="X93" s="26">
        <v>12.84</v>
      </c>
      <c r="Y93" s="26">
        <v>19.809999999999999</v>
      </c>
      <c r="Z93" s="26">
        <v>7.36</v>
      </c>
      <c r="AA93" s="26">
        <v>0.5</v>
      </c>
      <c r="AB93" s="26" t="s">
        <v>189</v>
      </c>
      <c r="AC93" s="26" t="s">
        <v>189</v>
      </c>
      <c r="AD93" s="26" t="s">
        <v>189</v>
      </c>
      <c r="AE93" s="26" t="s">
        <v>189</v>
      </c>
    </row>
    <row r="94" spans="1:31" ht="12" customHeight="1" x14ac:dyDescent="0.25">
      <c r="A94" s="74" t="s">
        <v>79</v>
      </c>
      <c r="B94" s="69">
        <v>100</v>
      </c>
      <c r="C94" s="26" t="s">
        <v>189</v>
      </c>
      <c r="D94" s="26" t="s">
        <v>189</v>
      </c>
      <c r="E94" s="26" t="s">
        <v>189</v>
      </c>
      <c r="F94" s="26" t="s">
        <v>189</v>
      </c>
      <c r="G94" s="26" t="s">
        <v>189</v>
      </c>
      <c r="H94" s="26" t="s">
        <v>189</v>
      </c>
      <c r="I94" s="26" t="s">
        <v>189</v>
      </c>
      <c r="J94" s="26" t="s">
        <v>189</v>
      </c>
      <c r="K94" s="26" t="s">
        <v>189</v>
      </c>
      <c r="L94" s="26" t="s">
        <v>189</v>
      </c>
      <c r="M94" s="26" t="s">
        <v>189</v>
      </c>
      <c r="N94" s="26" t="s">
        <v>189</v>
      </c>
      <c r="O94" s="26" t="s">
        <v>189</v>
      </c>
      <c r="P94" s="26" t="s">
        <v>189</v>
      </c>
      <c r="Q94" s="26" t="s">
        <v>189</v>
      </c>
      <c r="R94" s="26">
        <v>1.73</v>
      </c>
      <c r="S94" s="26">
        <v>0.74</v>
      </c>
      <c r="T94" s="26">
        <v>1.2</v>
      </c>
      <c r="U94" s="26">
        <v>2.35</v>
      </c>
      <c r="V94" s="26">
        <v>4.54</v>
      </c>
      <c r="W94" s="26">
        <v>6.97</v>
      </c>
      <c r="X94" s="26">
        <v>12.79</v>
      </c>
      <c r="Y94" s="26">
        <v>32.14</v>
      </c>
      <c r="Z94" s="26">
        <v>33.17</v>
      </c>
      <c r="AA94" s="26">
        <v>4.37</v>
      </c>
      <c r="AB94" s="26" t="s">
        <v>189</v>
      </c>
      <c r="AC94" s="26" t="s">
        <v>189</v>
      </c>
      <c r="AD94" s="26" t="s">
        <v>189</v>
      </c>
      <c r="AE94" s="26" t="s">
        <v>189</v>
      </c>
    </row>
    <row r="95" spans="1:31" ht="12" customHeight="1" x14ac:dyDescent="0.25">
      <c r="A95" s="74" t="s">
        <v>80</v>
      </c>
      <c r="B95" s="69">
        <v>100</v>
      </c>
      <c r="C95" s="26">
        <v>0.69</v>
      </c>
      <c r="D95" s="26">
        <v>0.2</v>
      </c>
      <c r="E95" s="26">
        <v>0.06</v>
      </c>
      <c r="F95" s="26">
        <v>0.18</v>
      </c>
      <c r="G95" s="26">
        <v>0.28999999999999998</v>
      </c>
      <c r="H95" s="26">
        <v>0.39</v>
      </c>
      <c r="I95" s="26">
        <v>0.79</v>
      </c>
      <c r="J95" s="26">
        <v>0.61</v>
      </c>
      <c r="K95" s="26">
        <v>1.51</v>
      </c>
      <c r="L95" s="26">
        <v>0.88</v>
      </c>
      <c r="M95" s="26">
        <v>0.85</v>
      </c>
      <c r="N95" s="26">
        <v>1.04</v>
      </c>
      <c r="O95" s="26">
        <v>0.68</v>
      </c>
      <c r="P95" s="26">
        <v>0.53</v>
      </c>
      <c r="Q95" s="26">
        <v>1.26</v>
      </c>
      <c r="R95" s="26">
        <v>1.28</v>
      </c>
      <c r="S95" s="26">
        <v>1.58</v>
      </c>
      <c r="T95" s="26">
        <v>2.08</v>
      </c>
      <c r="U95" s="26">
        <v>3.83</v>
      </c>
      <c r="V95" s="26">
        <v>7.09</v>
      </c>
      <c r="W95" s="26">
        <v>7.67</v>
      </c>
      <c r="X95" s="26">
        <v>8.26</v>
      </c>
      <c r="Y95" s="26">
        <v>14.85</v>
      </c>
      <c r="Z95" s="26">
        <v>37.799999999999997</v>
      </c>
      <c r="AA95" s="26">
        <v>4.49</v>
      </c>
      <c r="AB95" s="26">
        <v>1.05</v>
      </c>
      <c r="AC95" s="26">
        <v>0.06</v>
      </c>
      <c r="AD95" s="26" t="s">
        <v>189</v>
      </c>
      <c r="AE95" s="26" t="s">
        <v>189</v>
      </c>
    </row>
    <row r="96" spans="1:31" ht="12" customHeight="1" x14ac:dyDescent="0.25">
      <c r="A96" s="74" t="s">
        <v>81</v>
      </c>
      <c r="B96" s="69">
        <v>100</v>
      </c>
      <c r="C96" s="26">
        <v>0.15</v>
      </c>
      <c r="D96" s="26">
        <v>0.34</v>
      </c>
      <c r="E96" s="26">
        <v>0.32</v>
      </c>
      <c r="F96" s="26">
        <v>0.19</v>
      </c>
      <c r="G96" s="26">
        <v>0.34</v>
      </c>
      <c r="H96" s="26">
        <v>0.33</v>
      </c>
      <c r="I96" s="26">
        <v>0.32</v>
      </c>
      <c r="J96" s="26">
        <v>0.23</v>
      </c>
      <c r="K96" s="26">
        <v>0.49</v>
      </c>
      <c r="L96" s="26">
        <v>0.38</v>
      </c>
      <c r="M96" s="26">
        <v>0.5</v>
      </c>
      <c r="N96" s="26">
        <v>0.37</v>
      </c>
      <c r="O96" s="26">
        <v>0.25</v>
      </c>
      <c r="P96" s="26">
        <v>0.28999999999999998</v>
      </c>
      <c r="Q96" s="26">
        <v>1.67</v>
      </c>
      <c r="R96" s="26">
        <v>0.88</v>
      </c>
      <c r="S96" s="26">
        <v>1.1000000000000001</v>
      </c>
      <c r="T96" s="26">
        <v>1.86</v>
      </c>
      <c r="U96" s="26">
        <v>6.04</v>
      </c>
      <c r="V96" s="26">
        <v>12.61</v>
      </c>
      <c r="W96" s="26">
        <v>11.36</v>
      </c>
      <c r="X96" s="26">
        <v>9.92</v>
      </c>
      <c r="Y96" s="26">
        <v>18.37</v>
      </c>
      <c r="Z96" s="26">
        <v>29.77</v>
      </c>
      <c r="AA96" s="26">
        <v>1.53</v>
      </c>
      <c r="AB96" s="26">
        <v>0.33</v>
      </c>
      <c r="AC96" s="26">
        <v>0.03</v>
      </c>
      <c r="AD96" s="26" t="s">
        <v>189</v>
      </c>
      <c r="AE96" s="26" t="s">
        <v>189</v>
      </c>
    </row>
    <row r="97" spans="1:31" ht="12" customHeight="1" x14ac:dyDescent="0.25">
      <c r="A97" s="74" t="s">
        <v>82</v>
      </c>
      <c r="B97" s="69">
        <v>100</v>
      </c>
      <c r="C97" s="26">
        <v>2.54</v>
      </c>
      <c r="D97" s="26">
        <v>0.24</v>
      </c>
      <c r="E97" s="26">
        <v>0.28000000000000003</v>
      </c>
      <c r="F97" s="26">
        <v>0.21</v>
      </c>
      <c r="G97" s="26">
        <v>0.06</v>
      </c>
      <c r="H97" s="26">
        <v>0.27</v>
      </c>
      <c r="I97" s="26">
        <v>0.18</v>
      </c>
      <c r="J97" s="26">
        <v>0.76</v>
      </c>
      <c r="K97" s="26">
        <v>0.38</v>
      </c>
      <c r="L97" s="26">
        <v>0.38</v>
      </c>
      <c r="M97" s="26">
        <v>0.51</v>
      </c>
      <c r="N97" s="26">
        <v>0.45</v>
      </c>
      <c r="O97" s="26">
        <v>0.61</v>
      </c>
      <c r="P97" s="26">
        <v>0.78</v>
      </c>
      <c r="Q97" s="26">
        <v>5.0599999999999996</v>
      </c>
      <c r="R97" s="26">
        <v>1.75</v>
      </c>
      <c r="S97" s="26">
        <v>1.95</v>
      </c>
      <c r="T97" s="26">
        <v>2.02</v>
      </c>
      <c r="U97" s="26">
        <v>7.04</v>
      </c>
      <c r="V97" s="26">
        <v>13.16</v>
      </c>
      <c r="W97" s="26">
        <v>14.13</v>
      </c>
      <c r="X97" s="26">
        <v>10.7</v>
      </c>
      <c r="Y97" s="26">
        <v>14.11</v>
      </c>
      <c r="Z97" s="26">
        <v>18.22</v>
      </c>
      <c r="AA97" s="26">
        <v>3.61</v>
      </c>
      <c r="AB97" s="26">
        <v>0.56999999999999995</v>
      </c>
      <c r="AC97" s="26">
        <v>0.03</v>
      </c>
      <c r="AD97" s="26">
        <v>0</v>
      </c>
      <c r="AE97" s="26" t="s">
        <v>189</v>
      </c>
    </row>
    <row r="98" spans="1:31" ht="12" customHeight="1" x14ac:dyDescent="0.25">
      <c r="A98" s="74" t="s">
        <v>83</v>
      </c>
      <c r="B98" s="69">
        <v>100</v>
      </c>
      <c r="C98" s="26" t="s">
        <v>189</v>
      </c>
      <c r="D98" s="26" t="s">
        <v>189</v>
      </c>
      <c r="E98" s="26" t="s">
        <v>189</v>
      </c>
      <c r="F98" s="26">
        <v>0.13</v>
      </c>
      <c r="G98" s="26" t="s">
        <v>189</v>
      </c>
      <c r="H98" s="26">
        <v>0.06</v>
      </c>
      <c r="I98" s="26">
        <v>0.06</v>
      </c>
      <c r="J98" s="26" t="s">
        <v>189</v>
      </c>
      <c r="K98" s="26">
        <v>0.11</v>
      </c>
      <c r="L98" s="26" t="s">
        <v>189</v>
      </c>
      <c r="M98" s="26" t="s">
        <v>189</v>
      </c>
      <c r="N98" s="26">
        <v>0.36</v>
      </c>
      <c r="O98" s="26">
        <v>0.33</v>
      </c>
      <c r="P98" s="26">
        <v>0.49</v>
      </c>
      <c r="Q98" s="26">
        <v>0.54</v>
      </c>
      <c r="R98" s="26">
        <v>0.92</v>
      </c>
      <c r="S98" s="26">
        <v>0.48</v>
      </c>
      <c r="T98" s="26">
        <v>0.42</v>
      </c>
      <c r="U98" s="26">
        <v>3.17</v>
      </c>
      <c r="V98" s="26">
        <v>6.72</v>
      </c>
      <c r="W98" s="26">
        <v>7.9</v>
      </c>
      <c r="X98" s="26">
        <v>7.74</v>
      </c>
      <c r="Y98" s="26">
        <v>23.22</v>
      </c>
      <c r="Z98" s="26">
        <v>43.43</v>
      </c>
      <c r="AA98" s="26">
        <v>3.81</v>
      </c>
      <c r="AB98" s="26">
        <v>0.11</v>
      </c>
      <c r="AC98" s="26" t="s">
        <v>189</v>
      </c>
      <c r="AD98" s="26" t="s">
        <v>189</v>
      </c>
      <c r="AE98" s="26" t="s">
        <v>189</v>
      </c>
    </row>
    <row r="99" spans="1:31" ht="12" customHeight="1" x14ac:dyDescent="0.25">
      <c r="A99" s="74" t="s">
        <v>84</v>
      </c>
      <c r="B99" s="69">
        <v>100</v>
      </c>
      <c r="C99" s="26" t="s">
        <v>189</v>
      </c>
      <c r="D99" s="26">
        <v>0.02</v>
      </c>
      <c r="E99" s="26">
        <v>0.04</v>
      </c>
      <c r="F99" s="26">
        <v>0.06</v>
      </c>
      <c r="G99" s="26">
        <v>7.0000000000000007E-2</v>
      </c>
      <c r="H99" s="26">
        <v>0.32</v>
      </c>
      <c r="I99" s="26">
        <v>7.0000000000000007E-2</v>
      </c>
      <c r="J99" s="26">
        <v>0.12</v>
      </c>
      <c r="K99" s="26">
        <v>0.04</v>
      </c>
      <c r="L99" s="26">
        <v>0.11</v>
      </c>
      <c r="M99" s="26">
        <v>0.17</v>
      </c>
      <c r="N99" s="26">
        <v>0.02</v>
      </c>
      <c r="O99" s="26">
        <v>0.2</v>
      </c>
      <c r="P99" s="26">
        <v>0.28999999999999998</v>
      </c>
      <c r="Q99" s="26">
        <v>0.25</v>
      </c>
      <c r="R99" s="26">
        <v>0.55000000000000004</v>
      </c>
      <c r="S99" s="26">
        <v>0.87</v>
      </c>
      <c r="T99" s="26">
        <v>4.21</v>
      </c>
      <c r="U99" s="26">
        <v>7.57</v>
      </c>
      <c r="V99" s="26">
        <v>12.69</v>
      </c>
      <c r="W99" s="26">
        <v>11.16</v>
      </c>
      <c r="X99" s="26">
        <v>11.2</v>
      </c>
      <c r="Y99" s="26">
        <v>19.72</v>
      </c>
      <c r="Z99" s="26">
        <v>25.28</v>
      </c>
      <c r="AA99" s="26">
        <v>4.16</v>
      </c>
      <c r="AB99" s="26">
        <v>0.57999999999999996</v>
      </c>
      <c r="AC99" s="26">
        <v>0.13</v>
      </c>
      <c r="AD99" s="26">
        <v>0.11</v>
      </c>
      <c r="AE99" s="26" t="s">
        <v>189</v>
      </c>
    </row>
    <row r="100" spans="1:31" ht="20.25" x14ac:dyDescent="0.25">
      <c r="A100" s="74" t="s">
        <v>118</v>
      </c>
      <c r="B100" s="69">
        <v>100</v>
      </c>
      <c r="C100" s="26">
        <v>0.42</v>
      </c>
      <c r="D100" s="26">
        <v>0.1</v>
      </c>
      <c r="E100" s="26">
        <v>0.1</v>
      </c>
      <c r="F100" s="26">
        <v>0.73</v>
      </c>
      <c r="G100" s="26">
        <v>0.1</v>
      </c>
      <c r="H100" s="26">
        <v>0.1</v>
      </c>
      <c r="I100" s="26">
        <v>0.84</v>
      </c>
      <c r="J100" s="26">
        <v>1.47</v>
      </c>
      <c r="K100" s="26">
        <v>0.42</v>
      </c>
      <c r="L100" s="26">
        <v>0.94</v>
      </c>
      <c r="M100" s="26">
        <v>0.94</v>
      </c>
      <c r="N100" s="26">
        <v>0.52</v>
      </c>
      <c r="O100" s="26">
        <v>0.63</v>
      </c>
      <c r="P100" s="26">
        <v>0.63</v>
      </c>
      <c r="Q100" s="26">
        <v>2.52</v>
      </c>
      <c r="R100" s="26">
        <v>8.07</v>
      </c>
      <c r="S100" s="26">
        <v>1.57</v>
      </c>
      <c r="T100" s="26">
        <v>1.78</v>
      </c>
      <c r="U100" s="26">
        <v>6.92</v>
      </c>
      <c r="V100" s="26">
        <v>11.32</v>
      </c>
      <c r="W100" s="26">
        <v>12.68</v>
      </c>
      <c r="X100" s="26">
        <v>13.21</v>
      </c>
      <c r="Y100" s="26">
        <v>18.45</v>
      </c>
      <c r="Z100" s="26">
        <v>14.05</v>
      </c>
      <c r="AA100" s="26">
        <v>0.94</v>
      </c>
      <c r="AB100" s="26">
        <v>0.52</v>
      </c>
      <c r="AC100" s="26" t="s">
        <v>189</v>
      </c>
      <c r="AD100" s="26" t="s">
        <v>189</v>
      </c>
      <c r="AE100" s="26" t="s">
        <v>189</v>
      </c>
    </row>
    <row r="101" spans="1:31" s="4" customFormat="1" ht="12" customHeight="1" x14ac:dyDescent="0.25">
      <c r="A101" s="78" t="s">
        <v>86</v>
      </c>
      <c r="B101" s="71">
        <v>100</v>
      </c>
      <c r="C101" s="33" t="s">
        <v>189</v>
      </c>
      <c r="D101" s="33" t="s">
        <v>189</v>
      </c>
      <c r="E101" s="33" t="s">
        <v>189</v>
      </c>
      <c r="F101" s="33" t="s">
        <v>189</v>
      </c>
      <c r="G101" s="33" t="s">
        <v>189</v>
      </c>
      <c r="H101" s="33" t="s">
        <v>189</v>
      </c>
      <c r="I101" s="33">
        <v>0.28999999999999998</v>
      </c>
      <c r="J101" s="33" t="s">
        <v>189</v>
      </c>
      <c r="K101" s="33" t="s">
        <v>189</v>
      </c>
      <c r="L101" s="33" t="s">
        <v>189</v>
      </c>
      <c r="M101" s="33">
        <v>0.57999999999999996</v>
      </c>
      <c r="N101" s="33">
        <v>0.28999999999999998</v>
      </c>
      <c r="O101" s="33" t="s">
        <v>189</v>
      </c>
      <c r="P101" s="33" t="s">
        <v>189</v>
      </c>
      <c r="Q101" s="33">
        <v>0.28999999999999998</v>
      </c>
      <c r="R101" s="33">
        <v>0.57999999999999996</v>
      </c>
      <c r="S101" s="33" t="s">
        <v>189</v>
      </c>
      <c r="T101" s="33">
        <v>3.47</v>
      </c>
      <c r="U101" s="33">
        <v>1.73</v>
      </c>
      <c r="V101" s="33">
        <v>2.02</v>
      </c>
      <c r="W101" s="33">
        <v>5.0599999999999996</v>
      </c>
      <c r="X101" s="33">
        <v>5.0599999999999996</v>
      </c>
      <c r="Y101" s="33">
        <v>16.329999999999998</v>
      </c>
      <c r="Z101" s="33">
        <v>57.95</v>
      </c>
      <c r="AA101" s="33">
        <v>6.36</v>
      </c>
      <c r="AB101" s="33" t="s">
        <v>189</v>
      </c>
      <c r="AC101" s="33" t="s">
        <v>189</v>
      </c>
      <c r="AD101" s="33" t="s">
        <v>189</v>
      </c>
      <c r="AE101" s="33" t="s">
        <v>189</v>
      </c>
    </row>
    <row r="102" spans="1:31" x14ac:dyDescent="0.25">
      <c r="A102" s="15"/>
    </row>
  </sheetData>
  <mergeCells count="2">
    <mergeCell ref="C1:O1"/>
    <mergeCell ref="C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&amp;C&amp;7СТРОИТЕЛЬНЫЕ ОРГАНИЗАЦИИ&amp;R&amp;6&amp;UПродолжение таблицы 2.8</oddHeader>
    <oddFooter>&amp;L&amp;P&amp;C&amp;8СТРОИТЕЛЬСТВО В РОССИИ. 2022&amp;R&amp;G</oddFooter>
    <evenHeader>&amp;C&amp;7СТРОИТЕЛЬНЫЕ ОРГАНИЗАЦИИ&amp;R&amp;6&amp;UПродолжение таблицы 2.8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zoomScale="120" zoomScaleNormal="120" zoomScalePageLayoutView="184" workbookViewId="0">
      <selection sqref="A1:F1"/>
    </sheetView>
  </sheetViews>
  <sheetFormatPr defaultColWidth="9.140625" defaultRowHeight="15" x14ac:dyDescent="0.25"/>
  <cols>
    <col min="1" max="1" width="30.7109375" style="2" customWidth="1"/>
    <col min="2" max="6" width="10.7109375" style="2" customWidth="1"/>
    <col min="7" max="7" width="9.140625" style="2" customWidth="1"/>
    <col min="8" max="16384" width="9.140625" style="2"/>
  </cols>
  <sheetData>
    <row r="1" spans="1:9" ht="37.15" customHeight="1" x14ac:dyDescent="0.25">
      <c r="A1" s="79" t="s">
        <v>186</v>
      </c>
      <c r="B1" s="79"/>
      <c r="C1" s="79"/>
      <c r="D1" s="79"/>
      <c r="E1" s="79"/>
      <c r="F1" s="79"/>
    </row>
    <row r="2" spans="1:9" ht="15" customHeight="1" x14ac:dyDescent="0.25">
      <c r="A2" s="97" t="s">
        <v>154</v>
      </c>
      <c r="B2" s="81"/>
      <c r="C2" s="81"/>
      <c r="D2" s="81"/>
      <c r="E2" s="81"/>
      <c r="F2" s="81"/>
    </row>
    <row r="3" spans="1:9" s="4" customFormat="1" ht="20.100000000000001" customHeight="1" x14ac:dyDescent="0.25">
      <c r="A3" s="84"/>
      <c r="B3" s="84" t="s">
        <v>96</v>
      </c>
      <c r="C3" s="98" t="s">
        <v>23</v>
      </c>
      <c r="D3" s="99"/>
      <c r="E3" s="99"/>
      <c r="F3" s="84"/>
    </row>
    <row r="4" spans="1:9" s="4" customFormat="1" ht="30" customHeight="1" x14ac:dyDescent="0.25">
      <c r="A4" s="86"/>
      <c r="B4" s="86"/>
      <c r="C4" s="14" t="s">
        <v>94</v>
      </c>
      <c r="D4" s="14" t="s">
        <v>95</v>
      </c>
      <c r="E4" s="14" t="s">
        <v>97</v>
      </c>
      <c r="F4" s="14" t="s">
        <v>93</v>
      </c>
    </row>
    <row r="5" spans="1:9" s="4" customFormat="1" ht="15.75" x14ac:dyDescent="0.25">
      <c r="A5" s="17" t="s">
        <v>1</v>
      </c>
      <c r="B5" s="55">
        <v>79137</v>
      </c>
      <c r="C5" s="56">
        <v>142143</v>
      </c>
      <c r="D5" s="57">
        <v>88387</v>
      </c>
      <c r="E5" s="56">
        <v>61448</v>
      </c>
      <c r="F5" s="58">
        <v>66977</v>
      </c>
      <c r="I5" s="59"/>
    </row>
    <row r="6" spans="1:9" s="4" customFormat="1" ht="21.75" customHeight="1" x14ac:dyDescent="0.25">
      <c r="A6" s="23" t="s">
        <v>136</v>
      </c>
      <c r="B6" s="60">
        <v>85896</v>
      </c>
      <c r="C6" s="61">
        <v>179500</v>
      </c>
      <c r="D6" s="62">
        <v>99924</v>
      </c>
      <c r="E6" s="61">
        <v>63197</v>
      </c>
      <c r="F6" s="63">
        <v>61376</v>
      </c>
    </row>
    <row r="7" spans="1:9" x14ac:dyDescent="0.25">
      <c r="A7" s="3" t="s">
        <v>2</v>
      </c>
      <c r="B7" s="43">
        <v>50127</v>
      </c>
      <c r="C7" s="44">
        <v>83336</v>
      </c>
      <c r="D7" s="45">
        <v>48595</v>
      </c>
      <c r="E7" s="44">
        <v>43884</v>
      </c>
      <c r="F7" s="46">
        <v>45961</v>
      </c>
    </row>
    <row r="8" spans="1:9" x14ac:dyDescent="0.25">
      <c r="A8" s="3" t="s">
        <v>3</v>
      </c>
      <c r="B8" s="43">
        <v>39584</v>
      </c>
      <c r="C8" s="44">
        <v>66367</v>
      </c>
      <c r="D8" s="45">
        <v>44820</v>
      </c>
      <c r="E8" s="44">
        <v>26635</v>
      </c>
      <c r="F8" s="46">
        <v>33894</v>
      </c>
    </row>
    <row r="9" spans="1:9" x14ac:dyDescent="0.25">
      <c r="A9" s="3" t="s">
        <v>4</v>
      </c>
      <c r="B9" s="43">
        <v>69070</v>
      </c>
      <c r="C9" s="44">
        <v>108349</v>
      </c>
      <c r="D9" s="45">
        <v>66167</v>
      </c>
      <c r="E9" s="44">
        <v>63979</v>
      </c>
      <c r="F9" s="46">
        <v>63974</v>
      </c>
    </row>
    <row r="10" spans="1:9" x14ac:dyDescent="0.25">
      <c r="A10" s="3" t="s">
        <v>5</v>
      </c>
      <c r="B10" s="43">
        <v>50669</v>
      </c>
      <c r="C10" s="44">
        <v>121088</v>
      </c>
      <c r="D10" s="45">
        <v>50554</v>
      </c>
      <c r="E10" s="44">
        <v>34427</v>
      </c>
      <c r="F10" s="46">
        <v>39237</v>
      </c>
    </row>
    <row r="11" spans="1:9" x14ac:dyDescent="0.25">
      <c r="A11" s="3" t="s">
        <v>6</v>
      </c>
      <c r="B11" s="43">
        <v>45446</v>
      </c>
      <c r="C11" s="44">
        <v>81223</v>
      </c>
      <c r="D11" s="45">
        <v>56143</v>
      </c>
      <c r="E11" s="44" t="s">
        <v>189</v>
      </c>
      <c r="F11" s="46">
        <v>41082</v>
      </c>
    </row>
    <row r="12" spans="1:9" x14ac:dyDescent="0.25">
      <c r="A12" s="3" t="s">
        <v>7</v>
      </c>
      <c r="B12" s="43">
        <v>46448</v>
      </c>
      <c r="C12" s="44">
        <v>117310</v>
      </c>
      <c r="D12" s="45">
        <v>45846</v>
      </c>
      <c r="E12" s="44">
        <v>35588</v>
      </c>
      <c r="F12" s="46">
        <v>38155</v>
      </c>
    </row>
    <row r="13" spans="1:9" x14ac:dyDescent="0.25">
      <c r="A13" s="3" t="s">
        <v>8</v>
      </c>
      <c r="B13" s="43">
        <v>46430</v>
      </c>
      <c r="C13" s="44">
        <v>86765</v>
      </c>
      <c r="D13" s="45">
        <v>51513</v>
      </c>
      <c r="E13" s="44">
        <v>77971</v>
      </c>
      <c r="F13" s="46">
        <v>41223</v>
      </c>
    </row>
    <row r="14" spans="1:9" x14ac:dyDescent="0.25">
      <c r="A14" s="3" t="s">
        <v>9</v>
      </c>
      <c r="B14" s="43">
        <v>61719</v>
      </c>
      <c r="C14" s="44">
        <v>105822</v>
      </c>
      <c r="D14" s="45">
        <v>55986</v>
      </c>
      <c r="E14" s="44">
        <v>53732</v>
      </c>
      <c r="F14" s="46">
        <v>57971</v>
      </c>
    </row>
    <row r="15" spans="1:9" x14ac:dyDescent="0.25">
      <c r="A15" s="3" t="s">
        <v>10</v>
      </c>
      <c r="B15" s="43">
        <v>47331</v>
      </c>
      <c r="C15" s="44">
        <v>73631</v>
      </c>
      <c r="D15" s="45">
        <v>43725</v>
      </c>
      <c r="E15" s="44">
        <v>37716</v>
      </c>
      <c r="F15" s="46">
        <v>41430</v>
      </c>
    </row>
    <row r="16" spans="1:9" x14ac:dyDescent="0.25">
      <c r="A16" s="3" t="s">
        <v>11</v>
      </c>
      <c r="B16" s="43">
        <v>74360</v>
      </c>
      <c r="C16" s="44">
        <v>136092</v>
      </c>
      <c r="D16" s="45">
        <v>77580</v>
      </c>
      <c r="E16" s="44">
        <v>65147</v>
      </c>
      <c r="F16" s="46">
        <v>62650</v>
      </c>
    </row>
    <row r="17" spans="1:6" x14ac:dyDescent="0.25">
      <c r="A17" s="3" t="s">
        <v>12</v>
      </c>
      <c r="B17" s="43">
        <v>43567</v>
      </c>
      <c r="C17" s="44">
        <v>77900</v>
      </c>
      <c r="D17" s="45">
        <v>42913</v>
      </c>
      <c r="E17" s="44">
        <v>32303</v>
      </c>
      <c r="F17" s="46">
        <v>40078</v>
      </c>
    </row>
    <row r="18" spans="1:6" x14ac:dyDescent="0.25">
      <c r="A18" s="3" t="s">
        <v>13</v>
      </c>
      <c r="B18" s="43">
        <v>58278</v>
      </c>
      <c r="C18" s="44">
        <v>125017</v>
      </c>
      <c r="D18" s="45">
        <v>61722</v>
      </c>
      <c r="E18" s="44">
        <v>42178</v>
      </c>
      <c r="F18" s="46">
        <v>47045</v>
      </c>
    </row>
    <row r="19" spans="1:6" x14ac:dyDescent="0.25">
      <c r="A19" s="3" t="s">
        <v>14</v>
      </c>
      <c r="B19" s="43">
        <v>48745</v>
      </c>
      <c r="C19" s="44">
        <v>75377</v>
      </c>
      <c r="D19" s="45">
        <v>52076</v>
      </c>
      <c r="E19" s="44">
        <v>37457</v>
      </c>
      <c r="F19" s="46">
        <v>39719</v>
      </c>
    </row>
    <row r="20" spans="1:6" x14ac:dyDescent="0.25">
      <c r="A20" s="3" t="s">
        <v>15</v>
      </c>
      <c r="B20" s="43">
        <v>43958</v>
      </c>
      <c r="C20" s="44">
        <v>92829</v>
      </c>
      <c r="D20" s="45">
        <v>49978</v>
      </c>
      <c r="E20" s="44">
        <v>35652</v>
      </c>
      <c r="F20" s="46">
        <v>38207</v>
      </c>
    </row>
    <row r="21" spans="1:6" x14ac:dyDescent="0.25">
      <c r="A21" s="3" t="s">
        <v>16</v>
      </c>
      <c r="B21" s="43">
        <v>59126</v>
      </c>
      <c r="C21" s="44">
        <v>92272</v>
      </c>
      <c r="D21" s="45">
        <v>62177</v>
      </c>
      <c r="E21" s="44">
        <v>44436</v>
      </c>
      <c r="F21" s="46">
        <v>56121</v>
      </c>
    </row>
    <row r="22" spans="1:6" x14ac:dyDescent="0.25">
      <c r="A22" s="3" t="s">
        <v>17</v>
      </c>
      <c r="B22" s="43">
        <v>58936</v>
      </c>
      <c r="C22" s="44">
        <v>97539</v>
      </c>
      <c r="D22" s="45">
        <v>56138</v>
      </c>
      <c r="E22" s="44">
        <v>45137</v>
      </c>
      <c r="F22" s="46">
        <v>54928</v>
      </c>
    </row>
    <row r="23" spans="1:6" x14ac:dyDescent="0.25">
      <c r="A23" s="3" t="s">
        <v>18</v>
      </c>
      <c r="B23" s="43">
        <v>54663</v>
      </c>
      <c r="C23" s="44">
        <v>92335</v>
      </c>
      <c r="D23" s="45">
        <v>50985</v>
      </c>
      <c r="E23" s="44">
        <v>59840</v>
      </c>
      <c r="F23" s="46">
        <v>49641</v>
      </c>
    </row>
    <row r="24" spans="1:6" x14ac:dyDescent="0.25">
      <c r="A24" s="3" t="s">
        <v>19</v>
      </c>
      <c r="B24" s="43">
        <v>103203</v>
      </c>
      <c r="C24" s="44">
        <v>214382</v>
      </c>
      <c r="D24" s="45">
        <v>114892</v>
      </c>
      <c r="E24" s="44">
        <v>70254</v>
      </c>
      <c r="F24" s="46">
        <v>68860</v>
      </c>
    </row>
    <row r="25" spans="1:6" s="4" customFormat="1" ht="21" customHeight="1" x14ac:dyDescent="0.25">
      <c r="A25" s="23" t="s">
        <v>137</v>
      </c>
      <c r="B25" s="60">
        <v>97104</v>
      </c>
      <c r="C25" s="61">
        <v>166392</v>
      </c>
      <c r="D25" s="62">
        <v>101224</v>
      </c>
      <c r="E25" s="61">
        <v>65781</v>
      </c>
      <c r="F25" s="63">
        <v>82294</v>
      </c>
    </row>
    <row r="26" spans="1:6" x14ac:dyDescent="0.25">
      <c r="A26" s="3" t="s">
        <v>20</v>
      </c>
      <c r="B26" s="43">
        <v>95201</v>
      </c>
      <c r="C26" s="44">
        <v>123896</v>
      </c>
      <c r="D26" s="45">
        <v>88768</v>
      </c>
      <c r="E26" s="44">
        <v>91272</v>
      </c>
      <c r="F26" s="46">
        <v>94019</v>
      </c>
    </row>
    <row r="27" spans="1:6" x14ac:dyDescent="0.25">
      <c r="A27" s="3" t="s">
        <v>21</v>
      </c>
      <c r="B27" s="43">
        <v>89338</v>
      </c>
      <c r="C27" s="44">
        <v>239862</v>
      </c>
      <c r="D27" s="45">
        <v>79856</v>
      </c>
      <c r="E27" s="44">
        <v>75763</v>
      </c>
      <c r="F27" s="46">
        <v>74414</v>
      </c>
    </row>
    <row r="28" spans="1:6" x14ac:dyDescent="0.25">
      <c r="A28" s="3" t="s">
        <v>22</v>
      </c>
      <c r="B28" s="43">
        <v>90407</v>
      </c>
      <c r="C28" s="44">
        <v>124814</v>
      </c>
      <c r="D28" s="45">
        <v>96369</v>
      </c>
      <c r="E28" s="44">
        <v>69580</v>
      </c>
      <c r="F28" s="46">
        <v>85671</v>
      </c>
    </row>
    <row r="29" spans="1:6" x14ac:dyDescent="0.25">
      <c r="A29" s="30" t="s">
        <v>63</v>
      </c>
      <c r="B29" s="47"/>
      <c r="C29" s="48"/>
      <c r="D29" s="49"/>
      <c r="E29" s="48"/>
      <c r="F29" s="50"/>
    </row>
    <row r="30" spans="1:6" x14ac:dyDescent="0.25">
      <c r="A30" s="6" t="s">
        <v>24</v>
      </c>
      <c r="B30" s="43">
        <v>72973</v>
      </c>
      <c r="C30" s="44">
        <v>101745</v>
      </c>
      <c r="D30" s="45">
        <v>76351</v>
      </c>
      <c r="E30" s="44">
        <v>52891</v>
      </c>
      <c r="F30" s="46">
        <v>68182</v>
      </c>
    </row>
    <row r="31" spans="1:6" ht="20.25" x14ac:dyDescent="0.25">
      <c r="A31" s="6" t="s">
        <v>149</v>
      </c>
      <c r="B31" s="43">
        <v>95663</v>
      </c>
      <c r="C31" s="44">
        <v>135697</v>
      </c>
      <c r="D31" s="45">
        <v>103634</v>
      </c>
      <c r="E31" s="44">
        <v>84023</v>
      </c>
      <c r="F31" s="46">
        <v>90257</v>
      </c>
    </row>
    <row r="32" spans="1:6" x14ac:dyDescent="0.25">
      <c r="A32" s="3" t="s">
        <v>25</v>
      </c>
      <c r="B32" s="43">
        <v>73733</v>
      </c>
      <c r="C32" s="44">
        <v>116497</v>
      </c>
      <c r="D32" s="45">
        <v>69219</v>
      </c>
      <c r="E32" s="44">
        <v>70763</v>
      </c>
      <c r="F32" s="46">
        <v>69945</v>
      </c>
    </row>
    <row r="33" spans="1:6" x14ac:dyDescent="0.25">
      <c r="A33" s="3" t="s">
        <v>26</v>
      </c>
      <c r="B33" s="43">
        <v>64827</v>
      </c>
      <c r="C33" s="44">
        <v>99940</v>
      </c>
      <c r="D33" s="45">
        <v>67551</v>
      </c>
      <c r="E33" s="44">
        <v>55741</v>
      </c>
      <c r="F33" s="46">
        <v>54923</v>
      </c>
    </row>
    <row r="34" spans="1:6" x14ac:dyDescent="0.25">
      <c r="A34" s="3" t="s">
        <v>27</v>
      </c>
      <c r="B34" s="43">
        <v>91080</v>
      </c>
      <c r="C34" s="44">
        <v>157271</v>
      </c>
      <c r="D34" s="45">
        <v>82817</v>
      </c>
      <c r="E34" s="44">
        <v>61863</v>
      </c>
      <c r="F34" s="46">
        <v>79708</v>
      </c>
    </row>
    <row r="35" spans="1:6" x14ac:dyDescent="0.25">
      <c r="A35" s="3" t="s">
        <v>28</v>
      </c>
      <c r="B35" s="43">
        <v>169803</v>
      </c>
      <c r="C35" s="44">
        <v>289861</v>
      </c>
      <c r="D35" s="45">
        <v>191135</v>
      </c>
      <c r="E35" s="44">
        <v>141409</v>
      </c>
      <c r="F35" s="46">
        <v>149134</v>
      </c>
    </row>
    <row r="36" spans="1:6" x14ac:dyDescent="0.25">
      <c r="A36" s="3" t="s">
        <v>29</v>
      </c>
      <c r="B36" s="43">
        <v>52120</v>
      </c>
      <c r="C36" s="44">
        <v>63998</v>
      </c>
      <c r="D36" s="45">
        <v>51045</v>
      </c>
      <c r="E36" s="44">
        <v>26297</v>
      </c>
      <c r="F36" s="46">
        <v>49968</v>
      </c>
    </row>
    <row r="37" spans="1:6" x14ac:dyDescent="0.25">
      <c r="A37" s="3" t="s">
        <v>30</v>
      </c>
      <c r="B37" s="43">
        <v>51252</v>
      </c>
      <c r="C37" s="44">
        <v>65926</v>
      </c>
      <c r="D37" s="45">
        <v>55628</v>
      </c>
      <c r="E37" s="44">
        <v>50544</v>
      </c>
      <c r="F37" s="46">
        <v>45534</v>
      </c>
    </row>
    <row r="38" spans="1:6" x14ac:dyDescent="0.25">
      <c r="A38" s="3" t="s">
        <v>31</v>
      </c>
      <c r="B38" s="43">
        <v>83449</v>
      </c>
      <c r="C38" s="44">
        <v>165324</v>
      </c>
      <c r="D38" s="45">
        <v>82363</v>
      </c>
      <c r="E38" s="44">
        <v>55371</v>
      </c>
      <c r="F38" s="46">
        <v>61289</v>
      </c>
    </row>
    <row r="39" spans="1:6" s="4" customFormat="1" ht="21.75" customHeight="1" x14ac:dyDescent="0.25">
      <c r="A39" s="23" t="s">
        <v>138</v>
      </c>
      <c r="B39" s="60">
        <v>59560</v>
      </c>
      <c r="C39" s="61">
        <v>90616</v>
      </c>
      <c r="D39" s="62">
        <v>62854</v>
      </c>
      <c r="E39" s="61">
        <v>44395</v>
      </c>
      <c r="F39" s="63">
        <v>54817</v>
      </c>
    </row>
    <row r="40" spans="1:6" x14ac:dyDescent="0.25">
      <c r="A40" s="3" t="s">
        <v>32</v>
      </c>
      <c r="B40" s="43">
        <v>61573</v>
      </c>
      <c r="C40" s="44">
        <v>96311</v>
      </c>
      <c r="D40" s="45">
        <v>50009</v>
      </c>
      <c r="E40" s="44">
        <v>43086</v>
      </c>
      <c r="F40" s="46">
        <v>60423</v>
      </c>
    </row>
    <row r="41" spans="1:6" x14ac:dyDescent="0.25">
      <c r="A41" s="3" t="s">
        <v>33</v>
      </c>
      <c r="B41" s="43">
        <v>50085</v>
      </c>
      <c r="C41" s="44">
        <v>82428</v>
      </c>
      <c r="D41" s="45">
        <v>57786</v>
      </c>
      <c r="E41" s="44" t="s">
        <v>189</v>
      </c>
      <c r="F41" s="46">
        <v>46218</v>
      </c>
    </row>
    <row r="42" spans="1:6" x14ac:dyDescent="0.25">
      <c r="A42" s="3" t="s">
        <v>119</v>
      </c>
      <c r="B42" s="43">
        <v>74882</v>
      </c>
      <c r="C42" s="44">
        <v>126258</v>
      </c>
      <c r="D42" s="45">
        <v>78305</v>
      </c>
      <c r="E42" s="44">
        <v>60735</v>
      </c>
      <c r="F42" s="46">
        <v>68321</v>
      </c>
    </row>
    <row r="43" spans="1:6" x14ac:dyDescent="0.25">
      <c r="A43" s="3" t="s">
        <v>34</v>
      </c>
      <c r="B43" s="43">
        <v>58892</v>
      </c>
      <c r="C43" s="44">
        <v>94929</v>
      </c>
      <c r="D43" s="45">
        <v>61146</v>
      </c>
      <c r="E43" s="44">
        <v>41988</v>
      </c>
      <c r="F43" s="46">
        <v>53702</v>
      </c>
    </row>
    <row r="44" spans="1:6" x14ac:dyDescent="0.25">
      <c r="A44" s="3" t="s">
        <v>35</v>
      </c>
      <c r="B44" s="43">
        <v>62155</v>
      </c>
      <c r="C44" s="44">
        <v>116096</v>
      </c>
      <c r="D44" s="45">
        <v>67734</v>
      </c>
      <c r="E44" s="44">
        <v>41473</v>
      </c>
      <c r="F44" s="46">
        <v>54908</v>
      </c>
    </row>
    <row r="45" spans="1:6" x14ac:dyDescent="0.25">
      <c r="A45" s="3" t="s">
        <v>36</v>
      </c>
      <c r="B45" s="43">
        <v>55521</v>
      </c>
      <c r="C45" s="44">
        <v>77688</v>
      </c>
      <c r="D45" s="45">
        <v>58797</v>
      </c>
      <c r="E45" s="44">
        <v>34337</v>
      </c>
      <c r="F45" s="46">
        <v>51595</v>
      </c>
    </row>
    <row r="46" spans="1:6" x14ac:dyDescent="0.25">
      <c r="A46" s="3" t="s">
        <v>37</v>
      </c>
      <c r="B46" s="43">
        <v>52639</v>
      </c>
      <c r="C46" s="44">
        <v>68024</v>
      </c>
      <c r="D46" s="45">
        <v>55437</v>
      </c>
      <c r="E46" s="44">
        <v>36285</v>
      </c>
      <c r="F46" s="46">
        <v>50060</v>
      </c>
    </row>
    <row r="47" spans="1:6" x14ac:dyDescent="0.25">
      <c r="A47" s="3" t="s">
        <v>120</v>
      </c>
      <c r="B47" s="43">
        <v>95096</v>
      </c>
      <c r="C47" s="44">
        <v>142239</v>
      </c>
      <c r="D47" s="45">
        <v>113066</v>
      </c>
      <c r="E47" s="44">
        <v>97560</v>
      </c>
      <c r="F47" s="46">
        <v>80836</v>
      </c>
    </row>
    <row r="48" spans="1:6" s="4" customFormat="1" ht="21.75" customHeight="1" x14ac:dyDescent="0.25">
      <c r="A48" s="23" t="s">
        <v>139</v>
      </c>
      <c r="B48" s="60">
        <v>38972</v>
      </c>
      <c r="C48" s="61">
        <v>71533</v>
      </c>
      <c r="D48" s="62">
        <v>46567</v>
      </c>
      <c r="E48" s="61">
        <v>34299</v>
      </c>
      <c r="F48" s="63">
        <v>31553</v>
      </c>
    </row>
    <row r="49" spans="1:6" x14ac:dyDescent="0.25">
      <c r="A49" s="3" t="s">
        <v>38</v>
      </c>
      <c r="B49" s="43">
        <v>33670</v>
      </c>
      <c r="C49" s="44">
        <v>52957</v>
      </c>
      <c r="D49" s="45">
        <v>37319</v>
      </c>
      <c r="E49" s="44">
        <v>32714</v>
      </c>
      <c r="F49" s="46">
        <v>29367</v>
      </c>
    </row>
    <row r="50" spans="1:6" x14ac:dyDescent="0.25">
      <c r="A50" s="3" t="s">
        <v>39</v>
      </c>
      <c r="B50" s="43">
        <v>29275</v>
      </c>
      <c r="C50" s="44">
        <v>26653</v>
      </c>
      <c r="D50" s="45">
        <v>32520</v>
      </c>
      <c r="E50" s="44">
        <v>46600</v>
      </c>
      <c r="F50" s="46">
        <v>28963</v>
      </c>
    </row>
    <row r="51" spans="1:6" x14ac:dyDescent="0.25">
      <c r="A51" s="3" t="s">
        <v>40</v>
      </c>
      <c r="B51" s="43">
        <v>46762</v>
      </c>
      <c r="C51" s="44">
        <v>55000</v>
      </c>
      <c r="D51" s="45">
        <v>82927</v>
      </c>
      <c r="E51" s="44">
        <v>15000</v>
      </c>
      <c r="F51" s="46">
        <v>41994</v>
      </c>
    </row>
    <row r="52" spans="1:6" x14ac:dyDescent="0.25">
      <c r="A52" s="3" t="s">
        <v>41</v>
      </c>
      <c r="B52" s="43">
        <v>35101</v>
      </c>
      <c r="C52" s="44">
        <v>106512</v>
      </c>
      <c r="D52" s="45">
        <v>53979</v>
      </c>
      <c r="E52" s="44">
        <v>57200</v>
      </c>
      <c r="F52" s="46">
        <v>22987</v>
      </c>
    </row>
    <row r="53" spans="1:6" x14ac:dyDescent="0.25">
      <c r="A53" s="3" t="s">
        <v>42</v>
      </c>
      <c r="B53" s="43">
        <v>37445</v>
      </c>
      <c r="C53" s="44">
        <v>59619</v>
      </c>
      <c r="D53" s="45">
        <v>43781</v>
      </c>
      <c r="E53" s="44" t="s">
        <v>189</v>
      </c>
      <c r="F53" s="46">
        <v>34527</v>
      </c>
    </row>
    <row r="54" spans="1:6" x14ac:dyDescent="0.25">
      <c r="A54" s="3" t="s">
        <v>43</v>
      </c>
      <c r="B54" s="43">
        <v>27140</v>
      </c>
      <c r="C54" s="44">
        <v>40415</v>
      </c>
      <c r="D54" s="45">
        <v>28784</v>
      </c>
      <c r="E54" s="44">
        <v>29123</v>
      </c>
      <c r="F54" s="46">
        <v>24430</v>
      </c>
    </row>
    <row r="55" spans="1:6" x14ac:dyDescent="0.25">
      <c r="A55" s="3" t="s">
        <v>45</v>
      </c>
      <c r="B55" s="43">
        <v>49125</v>
      </c>
      <c r="C55" s="44">
        <v>106488</v>
      </c>
      <c r="D55" s="45">
        <v>55123</v>
      </c>
      <c r="E55" s="44">
        <v>46694</v>
      </c>
      <c r="F55" s="46">
        <v>36106</v>
      </c>
    </row>
    <row r="56" spans="1:6" s="4" customFormat="1" ht="24" customHeight="1" x14ac:dyDescent="0.25">
      <c r="A56" s="23" t="s">
        <v>140</v>
      </c>
      <c r="B56" s="60">
        <v>58136</v>
      </c>
      <c r="C56" s="61">
        <v>88350</v>
      </c>
      <c r="D56" s="62">
        <v>59762</v>
      </c>
      <c r="E56" s="61">
        <v>44345</v>
      </c>
      <c r="F56" s="63">
        <v>53448</v>
      </c>
    </row>
    <row r="57" spans="1:6" x14ac:dyDescent="0.25">
      <c r="A57" s="3" t="s">
        <v>46</v>
      </c>
      <c r="B57" s="43">
        <v>51829</v>
      </c>
      <c r="C57" s="44">
        <v>78535</v>
      </c>
      <c r="D57" s="45">
        <v>53103</v>
      </c>
      <c r="E57" s="44">
        <v>26777</v>
      </c>
      <c r="F57" s="46">
        <v>47371</v>
      </c>
    </row>
    <row r="58" spans="1:6" x14ac:dyDescent="0.25">
      <c r="A58" s="3" t="s">
        <v>47</v>
      </c>
      <c r="B58" s="43">
        <v>45739</v>
      </c>
      <c r="C58" s="44">
        <v>81887</v>
      </c>
      <c r="D58" s="45">
        <v>42504</v>
      </c>
      <c r="E58" s="44">
        <v>36706</v>
      </c>
      <c r="F58" s="46">
        <v>41780</v>
      </c>
    </row>
    <row r="59" spans="1:6" x14ac:dyDescent="0.25">
      <c r="A59" s="3" t="s">
        <v>48</v>
      </c>
      <c r="B59" s="43">
        <v>42351</v>
      </c>
      <c r="C59" s="44">
        <v>60416</v>
      </c>
      <c r="D59" s="45">
        <v>49494</v>
      </c>
      <c r="E59" s="44">
        <v>37572</v>
      </c>
      <c r="F59" s="46">
        <v>40357</v>
      </c>
    </row>
    <row r="60" spans="1:6" x14ac:dyDescent="0.25">
      <c r="A60" s="3" t="s">
        <v>90</v>
      </c>
      <c r="B60" s="43">
        <v>73058</v>
      </c>
      <c r="C60" s="44">
        <v>92830</v>
      </c>
      <c r="D60" s="45">
        <v>72616</v>
      </c>
      <c r="E60" s="44">
        <v>62078</v>
      </c>
      <c r="F60" s="46">
        <v>70845</v>
      </c>
    </row>
    <row r="61" spans="1:6" x14ac:dyDescent="0.25">
      <c r="A61" s="3" t="s">
        <v>50</v>
      </c>
      <c r="B61" s="43">
        <v>40923</v>
      </c>
      <c r="C61" s="44">
        <v>53241</v>
      </c>
      <c r="D61" s="45">
        <v>39978</v>
      </c>
      <c r="E61" s="44">
        <v>27299</v>
      </c>
      <c r="F61" s="46">
        <v>39358</v>
      </c>
    </row>
    <row r="62" spans="1:6" x14ac:dyDescent="0.25">
      <c r="A62" s="3" t="s">
        <v>51</v>
      </c>
      <c r="B62" s="43">
        <v>51156</v>
      </c>
      <c r="C62" s="44">
        <v>77287</v>
      </c>
      <c r="D62" s="45">
        <v>60864</v>
      </c>
      <c r="E62" s="44">
        <v>26748</v>
      </c>
      <c r="F62" s="46">
        <v>46550</v>
      </c>
    </row>
    <row r="63" spans="1:6" x14ac:dyDescent="0.25">
      <c r="A63" s="3" t="s">
        <v>52</v>
      </c>
      <c r="B63" s="43">
        <v>61304</v>
      </c>
      <c r="C63" s="44">
        <v>94850</v>
      </c>
      <c r="D63" s="45">
        <v>73010</v>
      </c>
      <c r="E63" s="44">
        <v>39713</v>
      </c>
      <c r="F63" s="46">
        <v>53381</v>
      </c>
    </row>
    <row r="64" spans="1:6" x14ac:dyDescent="0.25">
      <c r="A64" s="3" t="s">
        <v>53</v>
      </c>
      <c r="B64" s="43">
        <v>55236</v>
      </c>
      <c r="C64" s="44">
        <v>64286</v>
      </c>
      <c r="D64" s="45">
        <v>49665</v>
      </c>
      <c r="E64" s="44">
        <v>39242</v>
      </c>
      <c r="F64" s="46">
        <v>55388</v>
      </c>
    </row>
    <row r="65" spans="1:6" x14ac:dyDescent="0.25">
      <c r="A65" s="3" t="s">
        <v>54</v>
      </c>
      <c r="B65" s="43">
        <v>59849</v>
      </c>
      <c r="C65" s="44">
        <v>107176</v>
      </c>
      <c r="D65" s="45">
        <v>59466</v>
      </c>
      <c r="E65" s="44">
        <v>45621</v>
      </c>
      <c r="F65" s="46">
        <v>52951</v>
      </c>
    </row>
    <row r="66" spans="1:6" x14ac:dyDescent="0.25">
      <c r="A66" s="3" t="s">
        <v>55</v>
      </c>
      <c r="B66" s="43">
        <v>47305</v>
      </c>
      <c r="C66" s="44">
        <v>101313</v>
      </c>
      <c r="D66" s="45">
        <v>43909</v>
      </c>
      <c r="E66" s="44">
        <v>26715</v>
      </c>
      <c r="F66" s="46">
        <v>40320</v>
      </c>
    </row>
    <row r="67" spans="1:6" x14ac:dyDescent="0.25">
      <c r="A67" s="3" t="s">
        <v>56</v>
      </c>
      <c r="B67" s="43">
        <v>49106</v>
      </c>
      <c r="C67" s="44">
        <v>59568</v>
      </c>
      <c r="D67" s="45">
        <v>68069</v>
      </c>
      <c r="E67" s="44" t="s">
        <v>189</v>
      </c>
      <c r="F67" s="46">
        <v>42956</v>
      </c>
    </row>
    <row r="68" spans="1:6" x14ac:dyDescent="0.25">
      <c r="A68" s="3" t="s">
        <v>57</v>
      </c>
      <c r="B68" s="43">
        <v>55060</v>
      </c>
      <c r="C68" s="44">
        <v>97592</v>
      </c>
      <c r="D68" s="45">
        <v>57841</v>
      </c>
      <c r="E68" s="44">
        <v>34178</v>
      </c>
      <c r="F68" s="46">
        <v>48675</v>
      </c>
    </row>
    <row r="69" spans="1:6" x14ac:dyDescent="0.25">
      <c r="A69" s="3" t="s">
        <v>58</v>
      </c>
      <c r="B69" s="43">
        <v>45759</v>
      </c>
      <c r="C69" s="44">
        <v>72098</v>
      </c>
      <c r="D69" s="45">
        <v>40701</v>
      </c>
      <c r="E69" s="44">
        <v>23611</v>
      </c>
      <c r="F69" s="46">
        <v>42079</v>
      </c>
    </row>
    <row r="70" spans="1:6" x14ac:dyDescent="0.25">
      <c r="A70" s="3" t="s">
        <v>59</v>
      </c>
      <c r="B70" s="43">
        <v>56311</v>
      </c>
      <c r="C70" s="44">
        <v>90242</v>
      </c>
      <c r="D70" s="45">
        <v>43598</v>
      </c>
      <c r="E70" s="44">
        <v>31366</v>
      </c>
      <c r="F70" s="46">
        <v>56371</v>
      </c>
    </row>
    <row r="71" spans="1:6" s="4" customFormat="1" ht="23.25" customHeight="1" x14ac:dyDescent="0.25">
      <c r="A71" s="23" t="s">
        <v>141</v>
      </c>
      <c r="B71" s="60">
        <v>77917</v>
      </c>
      <c r="C71" s="61">
        <v>125505</v>
      </c>
      <c r="D71" s="62">
        <v>85314</v>
      </c>
      <c r="E71" s="61">
        <v>61015</v>
      </c>
      <c r="F71" s="63">
        <v>71159</v>
      </c>
    </row>
    <row r="72" spans="1:6" x14ac:dyDescent="0.25">
      <c r="A72" s="3" t="s">
        <v>60</v>
      </c>
      <c r="B72" s="43">
        <v>50179</v>
      </c>
      <c r="C72" s="44">
        <v>85636</v>
      </c>
      <c r="D72" s="45">
        <v>61231</v>
      </c>
      <c r="E72" s="44">
        <v>52534</v>
      </c>
      <c r="F72" s="46">
        <v>45089</v>
      </c>
    </row>
    <row r="73" spans="1:6" x14ac:dyDescent="0.25">
      <c r="A73" s="3" t="s">
        <v>61</v>
      </c>
      <c r="B73" s="43">
        <v>55875</v>
      </c>
      <c r="C73" s="44">
        <v>105781</v>
      </c>
      <c r="D73" s="45">
        <v>51691</v>
      </c>
      <c r="E73" s="44">
        <v>38763</v>
      </c>
      <c r="F73" s="46">
        <v>49276</v>
      </c>
    </row>
    <row r="74" spans="1:6" x14ac:dyDescent="0.25">
      <c r="A74" s="3" t="s">
        <v>62</v>
      </c>
      <c r="B74" s="43">
        <v>86643</v>
      </c>
      <c r="C74" s="44">
        <v>139645</v>
      </c>
      <c r="D74" s="45">
        <v>96971</v>
      </c>
      <c r="E74" s="44">
        <v>66572</v>
      </c>
      <c r="F74" s="46">
        <v>79204</v>
      </c>
    </row>
    <row r="75" spans="1:6" x14ac:dyDescent="0.25">
      <c r="A75" s="30" t="s">
        <v>63</v>
      </c>
      <c r="B75" s="47"/>
      <c r="C75" s="48"/>
      <c r="D75" s="49"/>
      <c r="E75" s="48"/>
      <c r="F75" s="50"/>
    </row>
    <row r="76" spans="1:6" ht="20.25" x14ac:dyDescent="0.25">
      <c r="A76" s="6" t="s">
        <v>150</v>
      </c>
      <c r="B76" s="43">
        <v>68678</v>
      </c>
      <c r="C76" s="44">
        <v>114055</v>
      </c>
      <c r="D76" s="45">
        <v>77563</v>
      </c>
      <c r="E76" s="44">
        <v>43574</v>
      </c>
      <c r="F76" s="46">
        <v>62092</v>
      </c>
    </row>
    <row r="77" spans="1:6" x14ac:dyDescent="0.25">
      <c r="A77" s="6" t="s">
        <v>92</v>
      </c>
      <c r="B77" s="43">
        <v>101203</v>
      </c>
      <c r="C77" s="44">
        <v>163030</v>
      </c>
      <c r="D77" s="45">
        <v>118316</v>
      </c>
      <c r="E77" s="44">
        <v>79146</v>
      </c>
      <c r="F77" s="46">
        <v>93374</v>
      </c>
    </row>
    <row r="78" spans="1:6" ht="20.25" x14ac:dyDescent="0.25">
      <c r="A78" s="6" t="s">
        <v>151</v>
      </c>
      <c r="B78" s="43">
        <v>71919</v>
      </c>
      <c r="C78" s="44">
        <v>130903</v>
      </c>
      <c r="D78" s="45">
        <v>72356</v>
      </c>
      <c r="E78" s="44">
        <v>53233</v>
      </c>
      <c r="F78" s="46">
        <v>62158</v>
      </c>
    </row>
    <row r="79" spans="1:6" x14ac:dyDescent="0.25">
      <c r="A79" s="3" t="s">
        <v>66</v>
      </c>
      <c r="B79" s="43">
        <v>48340</v>
      </c>
      <c r="C79" s="44">
        <v>73073</v>
      </c>
      <c r="D79" s="45">
        <v>46232</v>
      </c>
      <c r="E79" s="44">
        <v>38276</v>
      </c>
      <c r="F79" s="46">
        <v>45413</v>
      </c>
    </row>
    <row r="80" spans="1:6" s="4" customFormat="1" ht="21.75" customHeight="1" x14ac:dyDescent="0.25">
      <c r="A80" s="23" t="s">
        <v>142</v>
      </c>
      <c r="B80" s="60">
        <v>81621</v>
      </c>
      <c r="C80" s="61">
        <v>119976</v>
      </c>
      <c r="D80" s="62">
        <v>83620</v>
      </c>
      <c r="E80" s="61">
        <v>51932</v>
      </c>
      <c r="F80" s="63">
        <v>76588</v>
      </c>
    </row>
    <row r="81" spans="1:6" x14ac:dyDescent="0.25">
      <c r="A81" s="3" t="s">
        <v>67</v>
      </c>
      <c r="B81" s="43">
        <v>46111</v>
      </c>
      <c r="C81" s="44">
        <v>54360</v>
      </c>
      <c r="D81" s="45">
        <v>36958</v>
      </c>
      <c r="E81" s="44">
        <v>22038</v>
      </c>
      <c r="F81" s="46">
        <v>47572</v>
      </c>
    </row>
    <row r="82" spans="1:6" x14ac:dyDescent="0.25">
      <c r="A82" s="3" t="s">
        <v>69</v>
      </c>
      <c r="B82" s="43">
        <v>65042</v>
      </c>
      <c r="C82" s="44">
        <v>165460</v>
      </c>
      <c r="D82" s="45">
        <v>62453</v>
      </c>
      <c r="E82" s="44">
        <v>35242</v>
      </c>
      <c r="F82" s="46">
        <v>56869</v>
      </c>
    </row>
    <row r="83" spans="1:6" x14ac:dyDescent="0.25">
      <c r="A83" s="3" t="s">
        <v>70</v>
      </c>
      <c r="B83" s="43">
        <v>56092</v>
      </c>
      <c r="C83" s="44">
        <v>71821</v>
      </c>
      <c r="D83" s="45">
        <v>60875</v>
      </c>
      <c r="E83" s="44">
        <v>35700</v>
      </c>
      <c r="F83" s="46">
        <v>54078</v>
      </c>
    </row>
    <row r="84" spans="1:6" x14ac:dyDescent="0.25">
      <c r="A84" s="3" t="s">
        <v>71</v>
      </c>
      <c r="B84" s="43">
        <v>56622</v>
      </c>
      <c r="C84" s="44">
        <v>94460</v>
      </c>
      <c r="D84" s="45">
        <v>51165</v>
      </c>
      <c r="E84" s="44">
        <v>38048</v>
      </c>
      <c r="F84" s="46">
        <v>55606</v>
      </c>
    </row>
    <row r="85" spans="1:6" x14ac:dyDescent="0.25">
      <c r="A85" s="3" t="s">
        <v>73</v>
      </c>
      <c r="B85" s="43">
        <v>95435</v>
      </c>
      <c r="C85" s="44">
        <v>144254</v>
      </c>
      <c r="D85" s="45">
        <v>99775</v>
      </c>
      <c r="E85" s="44">
        <v>46003</v>
      </c>
      <c r="F85" s="46">
        <v>87395</v>
      </c>
    </row>
    <row r="86" spans="1:6" x14ac:dyDescent="0.25">
      <c r="A86" s="3" t="s">
        <v>74</v>
      </c>
      <c r="B86" s="43">
        <v>96713</v>
      </c>
      <c r="C86" s="44">
        <v>125004</v>
      </c>
      <c r="D86" s="45">
        <v>105400</v>
      </c>
      <c r="E86" s="44">
        <v>62508</v>
      </c>
      <c r="F86" s="46">
        <v>93593</v>
      </c>
    </row>
    <row r="87" spans="1:6" x14ac:dyDescent="0.25">
      <c r="A87" s="3" t="s">
        <v>184</v>
      </c>
      <c r="B87" s="43">
        <v>63898</v>
      </c>
      <c r="C87" s="44">
        <v>83415</v>
      </c>
      <c r="D87" s="45">
        <v>62969</v>
      </c>
      <c r="E87" s="44">
        <v>34992</v>
      </c>
      <c r="F87" s="46">
        <v>60244</v>
      </c>
    </row>
    <row r="88" spans="1:6" x14ac:dyDescent="0.25">
      <c r="A88" s="3" t="s">
        <v>75</v>
      </c>
      <c r="B88" s="43">
        <v>58050</v>
      </c>
      <c r="C88" s="44">
        <v>101896</v>
      </c>
      <c r="D88" s="45">
        <v>59621</v>
      </c>
      <c r="E88" s="44">
        <v>47192</v>
      </c>
      <c r="F88" s="46">
        <v>49781</v>
      </c>
    </row>
    <row r="89" spans="1:6" x14ac:dyDescent="0.25">
      <c r="A89" s="3" t="s">
        <v>76</v>
      </c>
      <c r="B89" s="43">
        <v>78908</v>
      </c>
      <c r="C89" s="44">
        <v>149921</v>
      </c>
      <c r="D89" s="45">
        <v>80621</v>
      </c>
      <c r="E89" s="44">
        <v>67774</v>
      </c>
      <c r="F89" s="46">
        <v>69045</v>
      </c>
    </row>
    <row r="90" spans="1:6" x14ac:dyDescent="0.25">
      <c r="A90" s="3" t="s">
        <v>77</v>
      </c>
      <c r="B90" s="43">
        <v>70749</v>
      </c>
      <c r="C90" s="44">
        <v>119328</v>
      </c>
      <c r="D90" s="45">
        <v>65215</v>
      </c>
      <c r="E90" s="44">
        <v>40306</v>
      </c>
      <c r="F90" s="46">
        <v>60844</v>
      </c>
    </row>
    <row r="91" spans="1:6" s="4" customFormat="1" ht="21.75" customHeight="1" x14ac:dyDescent="0.25">
      <c r="A91" s="23" t="s">
        <v>143</v>
      </c>
      <c r="B91" s="60">
        <v>94955</v>
      </c>
      <c r="C91" s="61">
        <v>158433</v>
      </c>
      <c r="D91" s="62">
        <v>106367</v>
      </c>
      <c r="E91" s="61">
        <v>88202</v>
      </c>
      <c r="F91" s="63">
        <v>86748</v>
      </c>
    </row>
    <row r="92" spans="1:6" x14ac:dyDescent="0.25">
      <c r="A92" s="3" t="s">
        <v>68</v>
      </c>
      <c r="B92" s="43">
        <v>65470</v>
      </c>
      <c r="C92" s="44">
        <v>117739</v>
      </c>
      <c r="D92" s="45">
        <v>57402</v>
      </c>
      <c r="E92" s="44" t="s">
        <v>189</v>
      </c>
      <c r="F92" s="46">
        <v>58186</v>
      </c>
    </row>
    <row r="93" spans="1:6" x14ac:dyDescent="0.25">
      <c r="A93" s="3" t="s">
        <v>78</v>
      </c>
      <c r="B93" s="43">
        <v>120966</v>
      </c>
      <c r="C93" s="44">
        <v>170935</v>
      </c>
      <c r="D93" s="45">
        <v>121764</v>
      </c>
      <c r="E93" s="44">
        <v>112101</v>
      </c>
      <c r="F93" s="46">
        <v>116586</v>
      </c>
    </row>
    <row r="94" spans="1:6" x14ac:dyDescent="0.25">
      <c r="A94" s="3" t="s">
        <v>72</v>
      </c>
      <c r="B94" s="43">
        <v>79189</v>
      </c>
      <c r="C94" s="44">
        <v>128389</v>
      </c>
      <c r="D94" s="45">
        <v>92039</v>
      </c>
      <c r="E94" s="44">
        <v>69462</v>
      </c>
      <c r="F94" s="46">
        <v>70792</v>
      </c>
    </row>
    <row r="95" spans="1:6" x14ac:dyDescent="0.25">
      <c r="A95" s="3" t="s">
        <v>79</v>
      </c>
      <c r="B95" s="43">
        <v>97476</v>
      </c>
      <c r="C95" s="44">
        <v>135409</v>
      </c>
      <c r="D95" s="45">
        <v>132033</v>
      </c>
      <c r="E95" s="44">
        <v>226559</v>
      </c>
      <c r="F95" s="46">
        <v>88499</v>
      </c>
    </row>
    <row r="96" spans="1:6" x14ac:dyDescent="0.25">
      <c r="A96" s="3" t="s">
        <v>80</v>
      </c>
      <c r="B96" s="43">
        <v>99986</v>
      </c>
      <c r="C96" s="44">
        <v>163640</v>
      </c>
      <c r="D96" s="45">
        <v>125800</v>
      </c>
      <c r="E96" s="44">
        <v>36467</v>
      </c>
      <c r="F96" s="46">
        <v>86508</v>
      </c>
    </row>
    <row r="97" spans="1:6" x14ac:dyDescent="0.25">
      <c r="A97" s="3" t="s">
        <v>81</v>
      </c>
      <c r="B97" s="43">
        <v>82609</v>
      </c>
      <c r="C97" s="44">
        <v>138223</v>
      </c>
      <c r="D97" s="45">
        <v>95022</v>
      </c>
      <c r="E97" s="44">
        <v>53988</v>
      </c>
      <c r="F97" s="46">
        <v>76491</v>
      </c>
    </row>
    <row r="98" spans="1:6" x14ac:dyDescent="0.25">
      <c r="A98" s="3" t="s">
        <v>82</v>
      </c>
      <c r="B98" s="43">
        <v>82621</v>
      </c>
      <c r="C98" s="44">
        <v>153774</v>
      </c>
      <c r="D98" s="45">
        <v>96476</v>
      </c>
      <c r="E98" s="44">
        <v>69671</v>
      </c>
      <c r="F98" s="46">
        <v>73852</v>
      </c>
    </row>
    <row r="99" spans="1:6" x14ac:dyDescent="0.25">
      <c r="A99" s="3" t="s">
        <v>83</v>
      </c>
      <c r="B99" s="43">
        <v>138786</v>
      </c>
      <c r="C99" s="44">
        <v>105444</v>
      </c>
      <c r="D99" s="45">
        <v>171921</v>
      </c>
      <c r="E99" s="44">
        <v>75539</v>
      </c>
      <c r="F99" s="46">
        <v>136523</v>
      </c>
    </row>
    <row r="100" spans="1:6" x14ac:dyDescent="0.25">
      <c r="A100" s="3" t="s">
        <v>84</v>
      </c>
      <c r="B100" s="43">
        <v>101103</v>
      </c>
      <c r="C100" s="44">
        <v>190517</v>
      </c>
      <c r="D100" s="45">
        <v>112477</v>
      </c>
      <c r="E100" s="44">
        <v>56376</v>
      </c>
      <c r="F100" s="46">
        <v>90684</v>
      </c>
    </row>
    <row r="101" spans="1:6" x14ac:dyDescent="0.25">
      <c r="A101" s="3" t="s">
        <v>85</v>
      </c>
      <c r="B101" s="43">
        <v>77905</v>
      </c>
      <c r="C101" s="44">
        <v>194095</v>
      </c>
      <c r="D101" s="45">
        <v>108438</v>
      </c>
      <c r="E101" s="44">
        <v>55298</v>
      </c>
      <c r="F101" s="46">
        <v>65234</v>
      </c>
    </row>
    <row r="102" spans="1:6" x14ac:dyDescent="0.25">
      <c r="A102" s="32" t="s">
        <v>86</v>
      </c>
      <c r="B102" s="51">
        <v>123235</v>
      </c>
      <c r="C102" s="52">
        <v>158208</v>
      </c>
      <c r="D102" s="53">
        <v>133115</v>
      </c>
      <c r="E102" s="52" t="s">
        <v>189</v>
      </c>
      <c r="F102" s="54">
        <v>118639</v>
      </c>
    </row>
    <row r="103" spans="1:6" ht="12" customHeight="1" x14ac:dyDescent="0.25">
      <c r="A103" s="67"/>
    </row>
  </sheetData>
  <mergeCells count="5">
    <mergeCell ref="A1:F1"/>
    <mergeCell ref="A2:F2"/>
    <mergeCell ref="A3:A4"/>
    <mergeCell ref="C3:F3"/>
    <mergeCell ref="B3:B4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 differentOddEven="1" differentFirst="1" alignWithMargins="0">
    <oddHeader xml:space="preserve">&amp;C&amp;7СТРОИТЕЛЬНЫЕ ОРГАНИЗАЦИИ&amp;R&amp;6&amp;UПродолжение таблицы 2.9 &amp;11&amp;U
</oddHeader>
    <oddFooter>&amp;L&amp;P&amp;C&amp;8СТРОИТЕЛЬСТВО В РОССИИ. 2022&amp;R&amp;G</oddFooter>
    <evenHeader xml:space="preserve">&amp;C&amp;7СТРОИТЕЛЬНЫЕ ОРГАНИЗАЦИИ&amp;R&amp;6&amp;UПродолжение таблицы 2.9 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2.6.</vt:lpstr>
      <vt:lpstr>2.7.</vt:lpstr>
      <vt:lpstr>2.8.</vt:lpstr>
      <vt:lpstr>2.9.</vt:lpstr>
      <vt:lpstr>'2.6.'!Заголовки_для_печати</vt:lpstr>
      <vt:lpstr>'2.7.'!Заголовки_для_печати</vt:lpstr>
      <vt:lpstr>'2.8.'!Заголовки_для_печати</vt:lpstr>
      <vt:lpstr>'2.9.'!Заголовки_для_печати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2022-11-25T09:51:06Z</cp:lastPrinted>
  <dcterms:created xsi:type="dcterms:W3CDTF">2014-05-28T11:47:34Z</dcterms:created>
  <dcterms:modified xsi:type="dcterms:W3CDTF">2022-11-25T09:51:09Z</dcterms:modified>
</cp:coreProperties>
</file>